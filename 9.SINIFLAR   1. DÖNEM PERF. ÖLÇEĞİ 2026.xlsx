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C:\Users\w7\Desktop\"/>
    </mc:Choice>
  </mc:AlternateContent>
  <bookViews>
    <workbookView xWindow="0" yWindow="0" windowWidth="20490" windowHeight="7665" firstSheet="3" activeTab="6"/>
  </bookViews>
  <sheets>
    <sheet name="Öğrenci Bilgileri" sheetId="1" r:id="rId1"/>
    <sheet name="1. Tema Konuşma" sheetId="2" r:id="rId2"/>
    <sheet name="2. Tema Konuşma" sheetId="3" r:id="rId3"/>
    <sheet name="1. Tema Yazma" sheetId="4" r:id="rId4"/>
    <sheet name="2. Tema Yazma" sheetId="5" r:id="rId5"/>
    <sheet name="1. DÖNEM 1. PERFORMANS PUANI" sheetId="6" r:id="rId6"/>
    <sheet name="1. Tema Kitap Okuma" sheetId="7" r:id="rId7"/>
    <sheet name="2. Tema Kitap Okuma" sheetId="8" r:id="rId8"/>
    <sheet name="Ders İçi Gözlem" sheetId="9" r:id="rId9"/>
    <sheet name="1. DÖNEM 2. PERFORMANS PUANI" sheetId="10" r:id="rId10"/>
    <sheet name="1. DÖNEM 1. VE 2. PERFORMANS P" sheetId="11" r:id="rId11"/>
  </sheets>
  <definedNames>
    <definedName name="_xlnm.Print_Area" localSheetId="5">'1. DÖNEM 1. PERFORMANS PUANI'!$A$1:$I$49</definedName>
    <definedName name="_xlnm.Print_Area" localSheetId="10">'1. DÖNEM 1. VE 2. PERFORMANS P'!$B$1:$F$49</definedName>
    <definedName name="_xlnm.Print_Area" localSheetId="9">'1. DÖNEM 2. PERFORMANS PUANI'!$A$1:$H$49</definedName>
    <definedName name="_xlnm.Print_Area" localSheetId="6">'1. Tema Kitap Okuma'!$A$1:$AQ$25</definedName>
    <definedName name="_xlnm.Print_Area" localSheetId="1">'1. Tema Konuşma'!$A$1:$AT$21</definedName>
    <definedName name="_xlnm.Print_Area" localSheetId="3">'1. Tema Yazma'!$A$1:$AS$20</definedName>
    <definedName name="_xlnm.Print_Area" localSheetId="7">'2. Tema Kitap Okuma'!$A$1:$AQ$25</definedName>
    <definedName name="_xlnm.Print_Area" localSheetId="2">'2. Tema Konuşma'!$A$1:$AS$21</definedName>
    <definedName name="_xlnm.Print_Area" localSheetId="4">'2. Tema Yazma'!$A$1:$AS$21</definedName>
  </definedNames>
  <calcPr calcId="152511"/>
  <extLst>
    <ext uri="GoogleSheetsCustomDataVersion2">
      <go:sheetsCustomData xmlns:go="http://customooxmlschemas.google.com/" r:id="rId12" roundtripDataChecksum="FWHJLXkD78SAS3jeCg8iGrQX3BDUCIJkO049yAErGos="/>
    </ext>
  </extLst>
</workbook>
</file>

<file path=xl/calcChain.xml><?xml version="1.0" encoding="utf-8"?>
<calcChain xmlns="http://schemas.openxmlformats.org/spreadsheetml/2006/main">
  <c r="E3" i="9" l="1"/>
  <c r="F3" i="9"/>
  <c r="G3" i="9"/>
  <c r="H3" i="9"/>
  <c r="I3" i="9"/>
  <c r="J3" i="9"/>
  <c r="K3" i="9"/>
  <c r="L3" i="9"/>
  <c r="M3" i="9"/>
  <c r="N3" i="9"/>
  <c r="O3" i="9"/>
  <c r="P3" i="9"/>
  <c r="Q3" i="9"/>
  <c r="R3" i="9"/>
  <c r="S3" i="9"/>
  <c r="T3" i="9"/>
  <c r="U3" i="9"/>
  <c r="V3" i="9"/>
  <c r="W3" i="9"/>
  <c r="X3" i="9"/>
  <c r="Y3" i="9"/>
  <c r="Z3" i="9"/>
  <c r="AA3" i="9"/>
  <c r="AB3" i="9"/>
  <c r="AC3" i="9"/>
  <c r="AD3" i="9"/>
  <c r="AE3" i="9"/>
  <c r="AF3" i="9"/>
  <c r="AG3" i="9"/>
  <c r="AH3" i="9"/>
  <c r="AI3" i="9"/>
  <c r="AJ3" i="9"/>
  <c r="AK3" i="9"/>
  <c r="AL3" i="9"/>
  <c r="AM3" i="9"/>
  <c r="AN3" i="9"/>
  <c r="AO3" i="9"/>
  <c r="AP3" i="9"/>
  <c r="AQ3" i="9"/>
  <c r="E3" i="8"/>
  <c r="F3" i="8"/>
  <c r="G3" i="8"/>
  <c r="H3" i="8"/>
  <c r="I3" i="8"/>
  <c r="J3" i="8"/>
  <c r="K3" i="8"/>
  <c r="L3" i="8"/>
  <c r="M3" i="8"/>
  <c r="N3" i="8"/>
  <c r="O3" i="8"/>
  <c r="P3" i="8"/>
  <c r="Q3" i="8"/>
  <c r="R3" i="8"/>
  <c r="S3" i="8"/>
  <c r="T3" i="8"/>
  <c r="U3" i="8"/>
  <c r="V3" i="8"/>
  <c r="W3" i="8"/>
  <c r="X3" i="8"/>
  <c r="Y3" i="8"/>
  <c r="Z3" i="8"/>
  <c r="AA3" i="8"/>
  <c r="AB3" i="8"/>
  <c r="AC3" i="8"/>
  <c r="AD3" i="8"/>
  <c r="AE3" i="8"/>
  <c r="AF3" i="8"/>
  <c r="AG3" i="8"/>
  <c r="AH3" i="8"/>
  <c r="AI3" i="8"/>
  <c r="AJ3" i="8"/>
  <c r="AK3" i="8"/>
  <c r="AL3" i="8"/>
  <c r="AM3" i="8"/>
  <c r="AN3" i="8"/>
  <c r="AO3" i="8"/>
  <c r="AP3" i="8"/>
  <c r="AQ3" i="8"/>
  <c r="E3" i="7"/>
  <c r="F3" i="7"/>
  <c r="G3" i="7"/>
  <c r="H3" i="7"/>
  <c r="I3" i="7"/>
  <c r="J3" i="7"/>
  <c r="K3" i="7"/>
  <c r="L3" i="7"/>
  <c r="M3" i="7"/>
  <c r="N3" i="7"/>
  <c r="O3" i="7"/>
  <c r="P3" i="7"/>
  <c r="Q3" i="7"/>
  <c r="R3" i="7"/>
  <c r="S3" i="7"/>
  <c r="T3" i="7"/>
  <c r="U3" i="7"/>
  <c r="V3" i="7"/>
  <c r="W3" i="7"/>
  <c r="X3" i="7"/>
  <c r="Y3" i="7"/>
  <c r="Z3" i="7"/>
  <c r="AA3" i="7"/>
  <c r="AB3" i="7"/>
  <c r="AC3" i="7"/>
  <c r="AD3" i="7"/>
  <c r="AE3" i="7"/>
  <c r="AF3" i="7"/>
  <c r="AG3" i="7"/>
  <c r="AH3" i="7"/>
  <c r="AI3" i="7"/>
  <c r="AJ3" i="7"/>
  <c r="AK3" i="7"/>
  <c r="AL3" i="7"/>
  <c r="AM3" i="7"/>
  <c r="AN3" i="7"/>
  <c r="AO3" i="7"/>
  <c r="AP3" i="7"/>
  <c r="AQ3" i="7"/>
  <c r="G3" i="5"/>
  <c r="H3" i="5"/>
  <c r="I3" i="5"/>
  <c r="J3" i="5"/>
  <c r="K3" i="5"/>
  <c r="L3" i="5"/>
  <c r="M3" i="5"/>
  <c r="N3" i="5"/>
  <c r="O3" i="5"/>
  <c r="P3" i="5"/>
  <c r="Q3" i="5"/>
  <c r="R3" i="5"/>
  <c r="S3" i="5"/>
  <c r="T3" i="5"/>
  <c r="U3" i="5"/>
  <c r="V3" i="5"/>
  <c r="W3" i="5"/>
  <c r="X3" i="5"/>
  <c r="Y3" i="5"/>
  <c r="Z3" i="5"/>
  <c r="AA3" i="5"/>
  <c r="AB3" i="5"/>
  <c r="AC3" i="5"/>
  <c r="AD3" i="5"/>
  <c r="AE3" i="5"/>
  <c r="AF3" i="5"/>
  <c r="AG3" i="5"/>
  <c r="AH3" i="5"/>
  <c r="AI3" i="5"/>
  <c r="AJ3" i="5"/>
  <c r="AK3" i="5"/>
  <c r="AL3" i="5"/>
  <c r="AM3" i="5"/>
  <c r="AN3" i="5"/>
  <c r="AO3" i="5"/>
  <c r="AP3" i="5"/>
  <c r="AQ3" i="5"/>
  <c r="AR3" i="5"/>
  <c r="AS3" i="5"/>
  <c r="F3" i="5"/>
  <c r="G3" i="4"/>
  <c r="H3" i="4"/>
  <c r="I3" i="4"/>
  <c r="J3" i="4"/>
  <c r="K3" i="4"/>
  <c r="L3" i="4"/>
  <c r="M3" i="4"/>
  <c r="N3" i="4"/>
  <c r="O3" i="4"/>
  <c r="P3" i="4"/>
  <c r="Q3" i="4"/>
  <c r="R3" i="4"/>
  <c r="S3" i="4"/>
  <c r="T3" i="4"/>
  <c r="U3" i="4"/>
  <c r="V3" i="4"/>
  <c r="W3" i="4"/>
  <c r="X3" i="4"/>
  <c r="Y3" i="4"/>
  <c r="Z3" i="4"/>
  <c r="AA3" i="4"/>
  <c r="AB3" i="4"/>
  <c r="AC3" i="4"/>
  <c r="AD3" i="4"/>
  <c r="AE3" i="4"/>
  <c r="AF3" i="4"/>
  <c r="AG3" i="4"/>
  <c r="AH3" i="4"/>
  <c r="AI3" i="4"/>
  <c r="AJ3" i="4"/>
  <c r="AK3" i="4"/>
  <c r="AL3" i="4"/>
  <c r="AM3" i="4"/>
  <c r="AN3" i="4"/>
  <c r="AO3" i="4"/>
  <c r="AP3" i="4"/>
  <c r="AQ3" i="4"/>
  <c r="AR3" i="4"/>
  <c r="G3" i="3"/>
  <c r="H3" i="3"/>
  <c r="I3" i="3"/>
  <c r="J3" i="3"/>
  <c r="K3" i="3"/>
  <c r="L3" i="3"/>
  <c r="M3" i="3"/>
  <c r="N3" i="3"/>
  <c r="O3" i="3"/>
  <c r="P3" i="3"/>
  <c r="Q3" i="3"/>
  <c r="R3" i="3"/>
  <c r="S3" i="3"/>
  <c r="T3" i="3"/>
  <c r="U3" i="3"/>
  <c r="V3" i="3"/>
  <c r="W3" i="3"/>
  <c r="X3" i="3"/>
  <c r="Y3" i="3"/>
  <c r="Z3" i="3"/>
  <c r="AA3" i="3"/>
  <c r="AB3" i="3"/>
  <c r="AC3" i="3"/>
  <c r="AD3" i="3"/>
  <c r="AE3" i="3"/>
  <c r="AF3" i="3"/>
  <c r="AG3" i="3"/>
  <c r="AH3" i="3"/>
  <c r="AI3" i="3"/>
  <c r="AJ3" i="3"/>
  <c r="AK3" i="3"/>
  <c r="AL3" i="3"/>
  <c r="AM3" i="3"/>
  <c r="AN3" i="3"/>
  <c r="AO3" i="3"/>
  <c r="AP3" i="3"/>
  <c r="AQ3" i="3"/>
  <c r="AR3" i="3"/>
  <c r="AS3" i="3"/>
  <c r="G3" i="2"/>
  <c r="H3" i="2"/>
  <c r="I3" i="2"/>
  <c r="J3" i="2"/>
  <c r="K3" i="2"/>
  <c r="L3" i="2"/>
  <c r="M3" i="2"/>
  <c r="N3" i="2"/>
  <c r="O3" i="2"/>
  <c r="P3" i="2"/>
  <c r="Q3" i="2"/>
  <c r="R3" i="2"/>
  <c r="S3" i="2"/>
  <c r="T3" i="2"/>
  <c r="U3" i="2"/>
  <c r="V3" i="2"/>
  <c r="W3" i="2"/>
  <c r="X3" i="2"/>
  <c r="Y3" i="2"/>
  <c r="Z3" i="2"/>
  <c r="AA3" i="2"/>
  <c r="AB3" i="2"/>
  <c r="AC3" i="2"/>
  <c r="AD3" i="2"/>
  <c r="AE3" i="2"/>
  <c r="AF3" i="2"/>
  <c r="AG3" i="2"/>
  <c r="AH3" i="2"/>
  <c r="AI3" i="2"/>
  <c r="AJ3" i="2"/>
  <c r="AK3" i="2"/>
  <c r="AL3" i="2"/>
  <c r="AM3" i="2"/>
  <c r="AN3" i="2"/>
  <c r="AO3" i="2"/>
  <c r="AP3" i="2"/>
  <c r="AQ3" i="2"/>
  <c r="AR3" i="2"/>
  <c r="AS3" i="2"/>
  <c r="AT3" i="2"/>
  <c r="F3" i="2"/>
  <c r="AS3" i="4" l="1"/>
  <c r="D43" i="11" l="1"/>
  <c r="C43" i="11"/>
  <c r="D42" i="11"/>
  <c r="C42" i="11"/>
  <c r="D41" i="11"/>
  <c r="C41" i="11"/>
  <c r="D40" i="11"/>
  <c r="C40" i="11"/>
  <c r="D39" i="11"/>
  <c r="C39" i="11"/>
  <c r="D38" i="11"/>
  <c r="C38" i="11"/>
  <c r="D37" i="11"/>
  <c r="C37" i="11"/>
  <c r="D36" i="11"/>
  <c r="C36" i="11"/>
  <c r="D35" i="11"/>
  <c r="C35" i="11"/>
  <c r="D34" i="11"/>
  <c r="C34" i="11"/>
  <c r="D33" i="11"/>
  <c r="C33" i="11"/>
  <c r="D32" i="11"/>
  <c r="C32" i="11"/>
  <c r="D31" i="11"/>
  <c r="C31" i="11"/>
  <c r="D30" i="11"/>
  <c r="C30" i="11"/>
  <c r="D29" i="11"/>
  <c r="C29" i="11"/>
  <c r="D28" i="11"/>
  <c r="C28" i="11"/>
  <c r="D27" i="11"/>
  <c r="C27" i="11"/>
  <c r="D26" i="11"/>
  <c r="C26" i="11"/>
  <c r="D25" i="11"/>
  <c r="C25" i="11"/>
  <c r="D24" i="11"/>
  <c r="C24" i="11"/>
  <c r="D23" i="11"/>
  <c r="C23" i="11"/>
  <c r="D22" i="11"/>
  <c r="C22" i="11"/>
  <c r="D21" i="11"/>
  <c r="C21" i="11"/>
  <c r="D20" i="11"/>
  <c r="C20" i="11"/>
  <c r="D19" i="11"/>
  <c r="C19" i="11"/>
  <c r="D18" i="11"/>
  <c r="C18" i="11"/>
  <c r="D17" i="11"/>
  <c r="C17" i="11"/>
  <c r="D16" i="11"/>
  <c r="C16" i="11"/>
  <c r="D15" i="11"/>
  <c r="C15" i="11"/>
  <c r="D14" i="11"/>
  <c r="C14" i="11"/>
  <c r="D13" i="11"/>
  <c r="C13" i="11"/>
  <c r="D12" i="11"/>
  <c r="C12" i="11"/>
  <c r="D11" i="11"/>
  <c r="C11" i="11"/>
  <c r="D10" i="11"/>
  <c r="C10" i="11"/>
  <c r="D9" i="11"/>
  <c r="C9" i="11"/>
  <c r="D8" i="11"/>
  <c r="C8" i="11"/>
  <c r="D7" i="11"/>
  <c r="C7" i="11"/>
  <c r="D6" i="11"/>
  <c r="C6" i="11"/>
  <c r="D5" i="11"/>
  <c r="C5" i="11"/>
  <c r="D4" i="11"/>
  <c r="C4" i="11"/>
  <c r="C5" i="10"/>
  <c r="C6" i="10"/>
  <c r="C7" i="10"/>
  <c r="C8" i="10"/>
  <c r="C9" i="10"/>
  <c r="C10" i="10"/>
  <c r="C11" i="10"/>
  <c r="C12" i="10"/>
  <c r="C13" i="10"/>
  <c r="C14" i="10"/>
  <c r="C15" i="10"/>
  <c r="C16" i="10"/>
  <c r="C17" i="10"/>
  <c r="C18" i="10"/>
  <c r="C19" i="10"/>
  <c r="C20" i="10"/>
  <c r="C21" i="10"/>
  <c r="C22" i="10"/>
  <c r="C23" i="10"/>
  <c r="C24" i="10"/>
  <c r="C25" i="10"/>
  <c r="C26" i="10"/>
  <c r="C27" i="10"/>
  <c r="C28" i="10"/>
  <c r="C29" i="10"/>
  <c r="C30" i="10"/>
  <c r="C31" i="10"/>
  <c r="C32" i="10"/>
  <c r="C33" i="10"/>
  <c r="C34" i="10"/>
  <c r="C35" i="10"/>
  <c r="C36" i="10"/>
  <c r="C37" i="10"/>
  <c r="C38" i="10"/>
  <c r="C39" i="10"/>
  <c r="C40" i="10"/>
  <c r="C41" i="10"/>
  <c r="C42" i="10"/>
  <c r="C43" i="10"/>
  <c r="C4" i="10"/>
  <c r="D5" i="10"/>
  <c r="D6" i="10"/>
  <c r="D7" i="10"/>
  <c r="D8" i="10"/>
  <c r="D9" i="10"/>
  <c r="D10" i="10"/>
  <c r="D11" i="10"/>
  <c r="D12" i="10"/>
  <c r="D13" i="10"/>
  <c r="D14" i="10"/>
  <c r="D15" i="10"/>
  <c r="D16" i="10"/>
  <c r="D17" i="10"/>
  <c r="D18" i="10"/>
  <c r="D19" i="10"/>
  <c r="D20" i="10"/>
  <c r="D21" i="10"/>
  <c r="D22" i="10"/>
  <c r="D23" i="10"/>
  <c r="D24" i="10"/>
  <c r="D25" i="10"/>
  <c r="D26" i="10"/>
  <c r="D27" i="10"/>
  <c r="D28" i="10"/>
  <c r="D29" i="10"/>
  <c r="D30" i="10"/>
  <c r="D31" i="10"/>
  <c r="D32" i="10"/>
  <c r="D33" i="10"/>
  <c r="D34" i="10"/>
  <c r="D35" i="10"/>
  <c r="D36" i="10"/>
  <c r="D37" i="10"/>
  <c r="D38" i="10"/>
  <c r="D39" i="10"/>
  <c r="D40" i="10"/>
  <c r="D41" i="10"/>
  <c r="D42" i="10"/>
  <c r="D43" i="10"/>
  <c r="D4" i="10"/>
  <c r="D3" i="9"/>
  <c r="D3" i="8"/>
  <c r="D3" i="7"/>
  <c r="AQ10" i="9"/>
  <c r="G43" i="10" s="1"/>
  <c r="AP10" i="9"/>
  <c r="G42" i="10" s="1"/>
  <c r="AO10" i="9"/>
  <c r="G41" i="10" s="1"/>
  <c r="AN10" i="9"/>
  <c r="G40" i="10" s="1"/>
  <c r="AM10" i="9"/>
  <c r="G39" i="10" s="1"/>
  <c r="AL10" i="9"/>
  <c r="G38" i="10" s="1"/>
  <c r="AK10" i="9"/>
  <c r="G37" i="10" s="1"/>
  <c r="AJ10" i="9"/>
  <c r="G36" i="10" s="1"/>
  <c r="AI10" i="9"/>
  <c r="G35" i="10" s="1"/>
  <c r="AH10" i="9"/>
  <c r="G34" i="10" s="1"/>
  <c r="AG10" i="9"/>
  <c r="G33" i="10" s="1"/>
  <c r="AF10" i="9"/>
  <c r="G32" i="10" s="1"/>
  <c r="AE10" i="9"/>
  <c r="G31" i="10" s="1"/>
  <c r="AD10" i="9"/>
  <c r="G30" i="10" s="1"/>
  <c r="AC10" i="9"/>
  <c r="G29" i="10" s="1"/>
  <c r="AB10" i="9"/>
  <c r="G28" i="10" s="1"/>
  <c r="AA10" i="9"/>
  <c r="G27" i="10" s="1"/>
  <c r="Z10" i="9"/>
  <c r="G26" i="10" s="1"/>
  <c r="Y10" i="9"/>
  <c r="G25" i="10" s="1"/>
  <c r="X10" i="9"/>
  <c r="G24" i="10" s="1"/>
  <c r="W10" i="9"/>
  <c r="G23" i="10" s="1"/>
  <c r="V10" i="9"/>
  <c r="G22" i="10" s="1"/>
  <c r="U10" i="9"/>
  <c r="G21" i="10" s="1"/>
  <c r="T10" i="9"/>
  <c r="G20" i="10" s="1"/>
  <c r="S10" i="9"/>
  <c r="G19" i="10" s="1"/>
  <c r="R10" i="9"/>
  <c r="G18" i="10" s="1"/>
  <c r="Q10" i="9"/>
  <c r="G17" i="10" s="1"/>
  <c r="P10" i="9"/>
  <c r="G16" i="10" s="1"/>
  <c r="O10" i="9"/>
  <c r="G15" i="10" s="1"/>
  <c r="N10" i="9"/>
  <c r="G14" i="10" s="1"/>
  <c r="M10" i="9"/>
  <c r="G13" i="10" s="1"/>
  <c r="L10" i="9"/>
  <c r="G12" i="10" s="1"/>
  <c r="K10" i="9"/>
  <c r="G11" i="10" s="1"/>
  <c r="J10" i="9"/>
  <c r="G10" i="10" s="1"/>
  <c r="I10" i="9"/>
  <c r="G9" i="10" s="1"/>
  <c r="H10" i="9"/>
  <c r="G8" i="10" s="1"/>
  <c r="G10" i="9"/>
  <c r="G7" i="10" s="1"/>
  <c r="F10" i="9"/>
  <c r="G6" i="10" s="1"/>
  <c r="E10" i="9"/>
  <c r="G5" i="10" s="1"/>
  <c r="D10" i="9"/>
  <c r="G4" i="10" s="1"/>
  <c r="AQ18" i="8"/>
  <c r="F43" i="10" s="1"/>
  <c r="AP18" i="8"/>
  <c r="F42" i="10" s="1"/>
  <c r="AO18" i="8"/>
  <c r="F41" i="10" s="1"/>
  <c r="AN18" i="8"/>
  <c r="F40" i="10" s="1"/>
  <c r="AM18" i="8"/>
  <c r="F39" i="10" s="1"/>
  <c r="AL18" i="8"/>
  <c r="F38" i="10" s="1"/>
  <c r="AK18" i="8"/>
  <c r="F37" i="10" s="1"/>
  <c r="AJ18" i="8"/>
  <c r="F36" i="10" s="1"/>
  <c r="AI18" i="8"/>
  <c r="F35" i="10" s="1"/>
  <c r="AH18" i="8"/>
  <c r="F34" i="10" s="1"/>
  <c r="AG18" i="8"/>
  <c r="F33" i="10" s="1"/>
  <c r="AF18" i="8"/>
  <c r="F32" i="10" s="1"/>
  <c r="AE18" i="8"/>
  <c r="F31" i="10" s="1"/>
  <c r="AD18" i="8"/>
  <c r="F30" i="10" s="1"/>
  <c r="AC18" i="8"/>
  <c r="F29" i="10" s="1"/>
  <c r="AB18" i="8"/>
  <c r="F28" i="10" s="1"/>
  <c r="AA18" i="8"/>
  <c r="F27" i="10" s="1"/>
  <c r="Z18" i="8"/>
  <c r="F26" i="10" s="1"/>
  <c r="Y18" i="8"/>
  <c r="F25" i="10" s="1"/>
  <c r="X18" i="8"/>
  <c r="F24" i="10" s="1"/>
  <c r="W18" i="8"/>
  <c r="F23" i="10" s="1"/>
  <c r="V18" i="8"/>
  <c r="F22" i="10" s="1"/>
  <c r="U18" i="8"/>
  <c r="F21" i="10" s="1"/>
  <c r="T18" i="8"/>
  <c r="F20" i="10" s="1"/>
  <c r="S18" i="8"/>
  <c r="F19" i="10" s="1"/>
  <c r="R18" i="8"/>
  <c r="F18" i="10" s="1"/>
  <c r="Q18" i="8"/>
  <c r="F17" i="10" s="1"/>
  <c r="P18" i="8"/>
  <c r="F16" i="10" s="1"/>
  <c r="O18" i="8"/>
  <c r="F15" i="10" s="1"/>
  <c r="N18" i="8"/>
  <c r="F14" i="10" s="1"/>
  <c r="M18" i="8"/>
  <c r="F13" i="10" s="1"/>
  <c r="L18" i="8"/>
  <c r="F12" i="10" s="1"/>
  <c r="K18" i="8"/>
  <c r="F11" i="10" s="1"/>
  <c r="J18" i="8"/>
  <c r="F10" i="10" s="1"/>
  <c r="I18" i="8"/>
  <c r="F9" i="10" s="1"/>
  <c r="H18" i="8"/>
  <c r="F8" i="10" s="1"/>
  <c r="G18" i="8"/>
  <c r="F7" i="10" s="1"/>
  <c r="F18" i="8"/>
  <c r="F6" i="10" s="1"/>
  <c r="E18" i="8"/>
  <c r="F5" i="10" s="1"/>
  <c r="D18" i="8"/>
  <c r="F4" i="10" s="1"/>
  <c r="AQ18" i="7"/>
  <c r="E43" i="10" s="1"/>
  <c r="AP18" i="7"/>
  <c r="E42" i="10" s="1"/>
  <c r="AO18" i="7"/>
  <c r="E41" i="10" s="1"/>
  <c r="AN18" i="7"/>
  <c r="E40" i="10" s="1"/>
  <c r="AM18" i="7"/>
  <c r="E39" i="10" s="1"/>
  <c r="AL18" i="7"/>
  <c r="E38" i="10" s="1"/>
  <c r="AK18" i="7"/>
  <c r="E37" i="10" s="1"/>
  <c r="AJ18" i="7"/>
  <c r="E36" i="10" s="1"/>
  <c r="AI18" i="7"/>
  <c r="E35" i="10" s="1"/>
  <c r="AH18" i="7"/>
  <c r="E34" i="10" s="1"/>
  <c r="AG18" i="7"/>
  <c r="E33" i="10" s="1"/>
  <c r="AF18" i="7"/>
  <c r="E32" i="10" s="1"/>
  <c r="AE18" i="7"/>
  <c r="E31" i="10" s="1"/>
  <c r="AD18" i="7"/>
  <c r="E30" i="10" s="1"/>
  <c r="AC18" i="7"/>
  <c r="E29" i="10" s="1"/>
  <c r="AB18" i="7"/>
  <c r="E28" i="10" s="1"/>
  <c r="AA18" i="7"/>
  <c r="E27" i="10" s="1"/>
  <c r="Z18" i="7"/>
  <c r="E26" i="10" s="1"/>
  <c r="Y18" i="7"/>
  <c r="E25" i="10" s="1"/>
  <c r="X18" i="7"/>
  <c r="E24" i="10" s="1"/>
  <c r="W18" i="7"/>
  <c r="E23" i="10" s="1"/>
  <c r="V18" i="7"/>
  <c r="E22" i="10" s="1"/>
  <c r="U18" i="7"/>
  <c r="E21" i="10" s="1"/>
  <c r="T18" i="7"/>
  <c r="E20" i="10" s="1"/>
  <c r="S18" i="7"/>
  <c r="E19" i="10" s="1"/>
  <c r="R18" i="7"/>
  <c r="E18" i="10" s="1"/>
  <c r="Q18" i="7"/>
  <c r="E17" i="10" s="1"/>
  <c r="P18" i="7"/>
  <c r="E16" i="10" s="1"/>
  <c r="O18" i="7"/>
  <c r="E15" i="10" s="1"/>
  <c r="N18" i="7"/>
  <c r="E14" i="10" s="1"/>
  <c r="M18" i="7"/>
  <c r="E13" i="10" s="1"/>
  <c r="L18" i="7"/>
  <c r="E12" i="10" s="1"/>
  <c r="K18" i="7"/>
  <c r="E11" i="10" s="1"/>
  <c r="J18" i="7"/>
  <c r="E10" i="10" s="1"/>
  <c r="I18" i="7"/>
  <c r="E9" i="10" s="1"/>
  <c r="H18" i="7"/>
  <c r="E8" i="10" s="1"/>
  <c r="G18" i="7"/>
  <c r="E7" i="10" s="1"/>
  <c r="F18" i="7"/>
  <c r="E6" i="10" s="1"/>
  <c r="E18" i="7"/>
  <c r="E5" i="10" s="1"/>
  <c r="D18" i="7"/>
  <c r="E4" i="10" s="1"/>
  <c r="H42" i="10" l="1"/>
  <c r="F42" i="11" s="1"/>
  <c r="H17" i="10"/>
  <c r="F17" i="11" s="1"/>
  <c r="H21" i="10"/>
  <c r="F21" i="11" s="1"/>
  <c r="H29" i="10"/>
  <c r="F29" i="11" s="1"/>
  <c r="H26" i="10"/>
  <c r="F26" i="11" s="1"/>
  <c r="H13" i="10"/>
  <c r="F13" i="11" s="1"/>
  <c r="H41" i="10"/>
  <c r="F41" i="11" s="1"/>
  <c r="H33" i="10"/>
  <c r="F33" i="11" s="1"/>
  <c r="H9" i="10"/>
  <c r="F9" i="11" s="1"/>
  <c r="H20" i="10"/>
  <c r="F20" i="11" s="1"/>
  <c r="H4" i="10"/>
  <c r="F4" i="11" s="1"/>
  <c r="H5" i="10"/>
  <c r="F5" i="11" s="1"/>
  <c r="H19" i="10"/>
  <c r="F19" i="11" s="1"/>
  <c r="H25" i="10"/>
  <c r="F25" i="11" s="1"/>
  <c r="H36" i="10"/>
  <c r="F36" i="11" s="1"/>
  <c r="H39" i="10"/>
  <c r="F39" i="11" s="1"/>
  <c r="H16" i="10"/>
  <c r="F16" i="11" s="1"/>
  <c r="H22" i="10"/>
  <c r="F22" i="11" s="1"/>
  <c r="H23" i="10"/>
  <c r="F23" i="11" s="1"/>
  <c r="H37" i="10"/>
  <c r="F37" i="11" s="1"/>
  <c r="H28" i="10"/>
  <c r="F28" i="11" s="1"/>
  <c r="H31" i="10"/>
  <c r="F31" i="11" s="1"/>
  <c r="H34" i="10"/>
  <c r="F34" i="11" s="1"/>
  <c r="H8" i="10"/>
  <c r="F8" i="11" s="1"/>
  <c r="H11" i="10"/>
  <c r="F11" i="11" s="1"/>
  <c r="H14" i="10"/>
  <c r="F14" i="11" s="1"/>
  <c r="H40" i="10"/>
  <c r="F40" i="11" s="1"/>
  <c r="H43" i="10"/>
  <c r="F43" i="11" s="1"/>
  <c r="H6" i="10"/>
  <c r="F6" i="11" s="1"/>
  <c r="H35" i="10"/>
  <c r="F35" i="11" s="1"/>
  <c r="H38" i="10"/>
  <c r="F38" i="11" s="1"/>
  <c r="H12" i="10"/>
  <c r="F12" i="11" s="1"/>
  <c r="H15" i="10"/>
  <c r="F15" i="11" s="1"/>
  <c r="H18" i="10"/>
  <c r="F18" i="11" s="1"/>
  <c r="H32" i="10"/>
  <c r="F32" i="11" s="1"/>
  <c r="H24" i="10"/>
  <c r="F24" i="11" s="1"/>
  <c r="H27" i="10"/>
  <c r="F27" i="11" s="1"/>
  <c r="H30" i="10"/>
  <c r="F30" i="11" s="1"/>
  <c r="H7" i="10"/>
  <c r="F7" i="11" s="1"/>
  <c r="H10" i="10"/>
  <c r="F10" i="11" s="1"/>
  <c r="D43" i="6" l="1"/>
  <c r="C43" i="6"/>
  <c r="D42" i="6"/>
  <c r="C42" i="6"/>
  <c r="D41" i="6"/>
  <c r="C41" i="6"/>
  <c r="D40" i="6"/>
  <c r="C40" i="6"/>
  <c r="D39" i="6"/>
  <c r="C39" i="6"/>
  <c r="D38" i="6"/>
  <c r="C38" i="6"/>
  <c r="D37" i="6"/>
  <c r="C37" i="6"/>
  <c r="D36" i="6"/>
  <c r="C36" i="6"/>
  <c r="D35" i="6"/>
  <c r="C35" i="6"/>
  <c r="D34" i="6"/>
  <c r="C34" i="6"/>
  <c r="D33" i="6"/>
  <c r="C33" i="6"/>
  <c r="D32" i="6"/>
  <c r="C32" i="6"/>
  <c r="D31" i="6"/>
  <c r="C31" i="6"/>
  <c r="D30" i="6"/>
  <c r="C30" i="6"/>
  <c r="D29" i="6"/>
  <c r="C29" i="6"/>
  <c r="D28" i="6"/>
  <c r="C28" i="6"/>
  <c r="D27" i="6"/>
  <c r="C27" i="6"/>
  <c r="D26" i="6"/>
  <c r="C26" i="6"/>
  <c r="D25" i="6"/>
  <c r="C25" i="6"/>
  <c r="D24" i="6"/>
  <c r="C24" i="6"/>
  <c r="D23" i="6"/>
  <c r="C23" i="6"/>
  <c r="D22" i="6"/>
  <c r="C22" i="6"/>
  <c r="D21" i="6"/>
  <c r="C21" i="6"/>
  <c r="D20" i="6"/>
  <c r="C20" i="6"/>
  <c r="D19" i="6"/>
  <c r="C19" i="6"/>
  <c r="D18" i="6"/>
  <c r="C18" i="6"/>
  <c r="D17" i="6"/>
  <c r="C17" i="6"/>
  <c r="D16" i="6"/>
  <c r="C16" i="6"/>
  <c r="D15" i="6"/>
  <c r="C15" i="6"/>
  <c r="D14" i="6"/>
  <c r="C14" i="6"/>
  <c r="D13" i="6"/>
  <c r="C13" i="6"/>
  <c r="D12" i="6"/>
  <c r="C12" i="6"/>
  <c r="D11" i="6"/>
  <c r="C11" i="6"/>
  <c r="D10" i="6"/>
  <c r="C10" i="6"/>
  <c r="D9" i="6"/>
  <c r="C9" i="6"/>
  <c r="D8" i="6"/>
  <c r="C8" i="6"/>
  <c r="D7" i="6"/>
  <c r="C7" i="6"/>
  <c r="D6" i="6"/>
  <c r="C6" i="6"/>
  <c r="D5" i="6"/>
  <c r="C5" i="6"/>
  <c r="D4" i="6"/>
  <c r="C4" i="6"/>
  <c r="AS14" i="5"/>
  <c r="H43" i="6" s="1"/>
  <c r="AR14" i="5"/>
  <c r="H42" i="6" s="1"/>
  <c r="AQ14" i="5"/>
  <c r="H41" i="6" s="1"/>
  <c r="AP14" i="5"/>
  <c r="H40" i="6" s="1"/>
  <c r="AO14" i="5"/>
  <c r="H39" i="6" s="1"/>
  <c r="AN14" i="5"/>
  <c r="H38" i="6" s="1"/>
  <c r="AM14" i="5"/>
  <c r="H37" i="6" s="1"/>
  <c r="AL14" i="5"/>
  <c r="H36" i="6" s="1"/>
  <c r="AK14" i="5"/>
  <c r="H35" i="6" s="1"/>
  <c r="AJ14" i="5"/>
  <c r="H34" i="6" s="1"/>
  <c r="AI14" i="5"/>
  <c r="H33" i="6" s="1"/>
  <c r="AH14" i="5"/>
  <c r="H32" i="6" s="1"/>
  <c r="AG14" i="5"/>
  <c r="H31" i="6" s="1"/>
  <c r="AF14" i="5"/>
  <c r="H30" i="6" s="1"/>
  <c r="AE14" i="5"/>
  <c r="H29" i="6" s="1"/>
  <c r="AD14" i="5"/>
  <c r="H28" i="6" s="1"/>
  <c r="AC14" i="5"/>
  <c r="H27" i="6" s="1"/>
  <c r="AB14" i="5"/>
  <c r="H26" i="6" s="1"/>
  <c r="AA14" i="5"/>
  <c r="H25" i="6" s="1"/>
  <c r="Z14" i="5"/>
  <c r="H24" i="6" s="1"/>
  <c r="Y14" i="5"/>
  <c r="H23" i="6" s="1"/>
  <c r="X14" i="5"/>
  <c r="H22" i="6" s="1"/>
  <c r="W14" i="5"/>
  <c r="H21" i="6" s="1"/>
  <c r="V14" i="5"/>
  <c r="H20" i="6" s="1"/>
  <c r="U14" i="5"/>
  <c r="H19" i="6" s="1"/>
  <c r="T14" i="5"/>
  <c r="H18" i="6" s="1"/>
  <c r="S14" i="5"/>
  <c r="H17" i="6" s="1"/>
  <c r="R14" i="5"/>
  <c r="H16" i="6" s="1"/>
  <c r="Q14" i="5"/>
  <c r="H15" i="6" s="1"/>
  <c r="P14" i="5"/>
  <c r="H14" i="6" s="1"/>
  <c r="O14" i="5"/>
  <c r="H13" i="6" s="1"/>
  <c r="N14" i="5"/>
  <c r="H12" i="6" s="1"/>
  <c r="M14" i="5"/>
  <c r="H11" i="6" s="1"/>
  <c r="L14" i="5"/>
  <c r="H10" i="6" s="1"/>
  <c r="K14" i="5"/>
  <c r="H9" i="6" s="1"/>
  <c r="J14" i="5"/>
  <c r="H8" i="6" s="1"/>
  <c r="I14" i="5"/>
  <c r="H7" i="6" s="1"/>
  <c r="H14" i="5"/>
  <c r="H6" i="6" s="1"/>
  <c r="G14" i="5"/>
  <c r="H5" i="6" s="1"/>
  <c r="F14" i="5"/>
  <c r="H4" i="6" s="1"/>
  <c r="AS13" i="4"/>
  <c r="G43" i="6" s="1"/>
  <c r="AR13" i="4"/>
  <c r="G42" i="6" s="1"/>
  <c r="AQ13" i="4"/>
  <c r="G41" i="6" s="1"/>
  <c r="AP13" i="4"/>
  <c r="G40" i="6" s="1"/>
  <c r="AO13" i="4"/>
  <c r="G39" i="6" s="1"/>
  <c r="AN13" i="4"/>
  <c r="G38" i="6" s="1"/>
  <c r="AM13" i="4"/>
  <c r="G37" i="6" s="1"/>
  <c r="AL13" i="4"/>
  <c r="G36" i="6" s="1"/>
  <c r="AK13" i="4"/>
  <c r="G35" i="6" s="1"/>
  <c r="AJ13" i="4"/>
  <c r="G34" i="6" s="1"/>
  <c r="AI13" i="4"/>
  <c r="G33" i="6" s="1"/>
  <c r="AH13" i="4"/>
  <c r="G32" i="6" s="1"/>
  <c r="AG13" i="4"/>
  <c r="G31" i="6" s="1"/>
  <c r="AF13" i="4"/>
  <c r="G30" i="6" s="1"/>
  <c r="AE13" i="4"/>
  <c r="G29" i="6" s="1"/>
  <c r="AD13" i="4"/>
  <c r="G28" i="6" s="1"/>
  <c r="AC13" i="4"/>
  <c r="G27" i="6" s="1"/>
  <c r="AB13" i="4"/>
  <c r="G26" i="6" s="1"/>
  <c r="AA13" i="4"/>
  <c r="G25" i="6" s="1"/>
  <c r="Z13" i="4"/>
  <c r="G24" i="6" s="1"/>
  <c r="Y13" i="4"/>
  <c r="G23" i="6" s="1"/>
  <c r="X13" i="4"/>
  <c r="G22" i="6" s="1"/>
  <c r="W13" i="4"/>
  <c r="G21" i="6" s="1"/>
  <c r="V13" i="4"/>
  <c r="G20" i="6" s="1"/>
  <c r="U13" i="4"/>
  <c r="G19" i="6" s="1"/>
  <c r="T13" i="4"/>
  <c r="G18" i="6" s="1"/>
  <c r="S13" i="4"/>
  <c r="G17" i="6" s="1"/>
  <c r="R13" i="4"/>
  <c r="G16" i="6" s="1"/>
  <c r="Q13" i="4"/>
  <c r="G15" i="6" s="1"/>
  <c r="P13" i="4"/>
  <c r="G14" i="6" s="1"/>
  <c r="O13" i="4"/>
  <c r="G13" i="6" s="1"/>
  <c r="N13" i="4"/>
  <c r="G12" i="6" s="1"/>
  <c r="M13" i="4"/>
  <c r="G11" i="6" s="1"/>
  <c r="L13" i="4"/>
  <c r="G10" i="6" s="1"/>
  <c r="K13" i="4"/>
  <c r="G9" i="6" s="1"/>
  <c r="J13" i="4"/>
  <c r="G8" i="6" s="1"/>
  <c r="I13" i="4"/>
  <c r="G7" i="6" s="1"/>
  <c r="H13" i="4"/>
  <c r="G6" i="6" s="1"/>
  <c r="G13" i="4"/>
  <c r="G5" i="6" s="1"/>
  <c r="F13" i="4"/>
  <c r="G4" i="6" s="1"/>
  <c r="F3" i="4"/>
  <c r="AS14" i="3"/>
  <c r="F43" i="6" s="1"/>
  <c r="AR14" i="3"/>
  <c r="F42" i="6" s="1"/>
  <c r="AQ14" i="3"/>
  <c r="F41" i="6" s="1"/>
  <c r="AP14" i="3"/>
  <c r="F40" i="6" s="1"/>
  <c r="AO14" i="3"/>
  <c r="F39" i="6" s="1"/>
  <c r="AN14" i="3"/>
  <c r="F38" i="6" s="1"/>
  <c r="AM14" i="3"/>
  <c r="F37" i="6" s="1"/>
  <c r="AL14" i="3"/>
  <c r="F36" i="6" s="1"/>
  <c r="AK14" i="3"/>
  <c r="F35" i="6" s="1"/>
  <c r="AJ14" i="3"/>
  <c r="F34" i="6" s="1"/>
  <c r="AI14" i="3"/>
  <c r="F33" i="6" s="1"/>
  <c r="AH14" i="3"/>
  <c r="F32" i="6" s="1"/>
  <c r="AG14" i="3"/>
  <c r="F31" i="6" s="1"/>
  <c r="AF14" i="3"/>
  <c r="F30" i="6" s="1"/>
  <c r="AE14" i="3"/>
  <c r="F29" i="6" s="1"/>
  <c r="AD14" i="3"/>
  <c r="F28" i="6" s="1"/>
  <c r="AC14" i="3"/>
  <c r="F27" i="6" s="1"/>
  <c r="AB14" i="3"/>
  <c r="F26" i="6" s="1"/>
  <c r="AA14" i="3"/>
  <c r="F25" i="6" s="1"/>
  <c r="Z14" i="3"/>
  <c r="F24" i="6" s="1"/>
  <c r="Y14" i="3"/>
  <c r="F23" i="6" s="1"/>
  <c r="X14" i="3"/>
  <c r="F22" i="6" s="1"/>
  <c r="W14" i="3"/>
  <c r="F21" i="6" s="1"/>
  <c r="V14" i="3"/>
  <c r="F20" i="6" s="1"/>
  <c r="U14" i="3"/>
  <c r="F19" i="6" s="1"/>
  <c r="T14" i="3"/>
  <c r="F18" i="6" s="1"/>
  <c r="S14" i="3"/>
  <c r="F17" i="6" s="1"/>
  <c r="R14" i="3"/>
  <c r="F16" i="6" s="1"/>
  <c r="Q14" i="3"/>
  <c r="F15" i="6" s="1"/>
  <c r="P14" i="3"/>
  <c r="F14" i="6" s="1"/>
  <c r="O14" i="3"/>
  <c r="F13" i="6" s="1"/>
  <c r="N14" i="3"/>
  <c r="F12" i="6" s="1"/>
  <c r="M14" i="3"/>
  <c r="F11" i="6" s="1"/>
  <c r="L14" i="3"/>
  <c r="F10" i="6" s="1"/>
  <c r="K14" i="3"/>
  <c r="F9" i="6" s="1"/>
  <c r="J14" i="3"/>
  <c r="F8" i="6" s="1"/>
  <c r="I14" i="3"/>
  <c r="F7" i="6" s="1"/>
  <c r="H14" i="3"/>
  <c r="F6" i="6" s="1"/>
  <c r="G14" i="3"/>
  <c r="F5" i="6" s="1"/>
  <c r="F14" i="3"/>
  <c r="F4" i="6" s="1"/>
  <c r="F3" i="3"/>
  <c r="AT14" i="2"/>
  <c r="AS14" i="2"/>
  <c r="E43" i="6" s="1"/>
  <c r="AR14" i="2"/>
  <c r="E42" i="6" s="1"/>
  <c r="AQ14" i="2"/>
  <c r="E41" i="6" s="1"/>
  <c r="AP14" i="2"/>
  <c r="E40" i="6" s="1"/>
  <c r="AO14" i="2"/>
  <c r="E39" i="6" s="1"/>
  <c r="AN14" i="2"/>
  <c r="E38" i="6" s="1"/>
  <c r="AM14" i="2"/>
  <c r="E37" i="6" s="1"/>
  <c r="AL14" i="2"/>
  <c r="E36" i="6" s="1"/>
  <c r="AK14" i="2"/>
  <c r="E35" i="6" s="1"/>
  <c r="AJ14" i="2"/>
  <c r="E34" i="6" s="1"/>
  <c r="AI14" i="2"/>
  <c r="E33" i="6" s="1"/>
  <c r="AH14" i="2"/>
  <c r="E32" i="6" s="1"/>
  <c r="AG14" i="2"/>
  <c r="E31" i="6" s="1"/>
  <c r="AF14" i="2"/>
  <c r="E30" i="6" s="1"/>
  <c r="AE14" i="2"/>
  <c r="E29" i="6" s="1"/>
  <c r="AD14" i="2"/>
  <c r="E28" i="6" s="1"/>
  <c r="AC14" i="2"/>
  <c r="E27" i="6" s="1"/>
  <c r="AB14" i="2"/>
  <c r="E26" i="6" s="1"/>
  <c r="AA14" i="2"/>
  <c r="E25" i="6" s="1"/>
  <c r="Z14" i="2"/>
  <c r="E24" i="6" s="1"/>
  <c r="Y14" i="2"/>
  <c r="E23" i="6" s="1"/>
  <c r="X14" i="2"/>
  <c r="E22" i="6" s="1"/>
  <c r="W14" i="2"/>
  <c r="E21" i="6" s="1"/>
  <c r="V14" i="2"/>
  <c r="E20" i="6" s="1"/>
  <c r="U14" i="2"/>
  <c r="E19" i="6" s="1"/>
  <c r="T14" i="2"/>
  <c r="E18" i="6" s="1"/>
  <c r="S14" i="2"/>
  <c r="E17" i="6" s="1"/>
  <c r="R14" i="2"/>
  <c r="E16" i="6" s="1"/>
  <c r="Q14" i="2"/>
  <c r="E15" i="6" s="1"/>
  <c r="P14" i="2"/>
  <c r="E14" i="6" s="1"/>
  <c r="O14" i="2"/>
  <c r="E13" i="6" s="1"/>
  <c r="N14" i="2"/>
  <c r="E12" i="6" s="1"/>
  <c r="M14" i="2"/>
  <c r="E11" i="6" s="1"/>
  <c r="L14" i="2"/>
  <c r="E10" i="6" s="1"/>
  <c r="K14" i="2"/>
  <c r="E9" i="6" s="1"/>
  <c r="J14" i="2"/>
  <c r="E8" i="6" s="1"/>
  <c r="I14" i="2"/>
  <c r="E7" i="6" s="1"/>
  <c r="H14" i="2"/>
  <c r="E6" i="6" s="1"/>
  <c r="G14" i="2"/>
  <c r="E5" i="6" s="1"/>
  <c r="F14" i="2"/>
  <c r="E4" i="6" s="1"/>
  <c r="I4" i="6" l="1"/>
  <c r="I6" i="6"/>
  <c r="I8" i="6"/>
  <c r="I10" i="6"/>
  <c r="I12" i="6"/>
  <c r="I14" i="6"/>
  <c r="I16" i="6"/>
  <c r="I18" i="6"/>
  <c r="I20" i="6"/>
  <c r="I22" i="6"/>
  <c r="I24" i="6"/>
  <c r="I26" i="6"/>
  <c r="I28" i="6"/>
  <c r="I30" i="6"/>
  <c r="I32" i="6"/>
  <c r="I34" i="6"/>
  <c r="I36" i="6"/>
  <c r="I38" i="6"/>
  <c r="I40" i="6"/>
  <c r="I42" i="6"/>
  <c r="I5" i="6"/>
  <c r="I7" i="6"/>
  <c r="E7" i="11" s="1"/>
  <c r="I9" i="6"/>
  <c r="E9" i="11" s="1"/>
  <c r="I11" i="6"/>
  <c r="E11" i="11" s="1"/>
  <c r="I13" i="6"/>
  <c r="E13" i="11" s="1"/>
  <c r="I15" i="6"/>
  <c r="E15" i="11" s="1"/>
  <c r="I17" i="6"/>
  <c r="E17" i="11" s="1"/>
  <c r="I19" i="6"/>
  <c r="E19" i="11" s="1"/>
  <c r="I21" i="6"/>
  <c r="E21" i="11" s="1"/>
  <c r="I23" i="6"/>
  <c r="E23" i="11" s="1"/>
  <c r="I25" i="6"/>
  <c r="E25" i="11" s="1"/>
  <c r="I27" i="6"/>
  <c r="E27" i="11" s="1"/>
  <c r="I29" i="6"/>
  <c r="E29" i="11" s="1"/>
  <c r="I31" i="6"/>
  <c r="E31" i="11" s="1"/>
  <c r="I33" i="6"/>
  <c r="E33" i="11" s="1"/>
  <c r="I35" i="6"/>
  <c r="E35" i="11" s="1"/>
  <c r="I37" i="6"/>
  <c r="E37" i="11" s="1"/>
  <c r="I39" i="6"/>
  <c r="E39" i="11" s="1"/>
  <c r="I41" i="6"/>
  <c r="E41" i="11" s="1"/>
  <c r="I43" i="6"/>
  <c r="E43" i="11" s="1"/>
  <c r="E4" i="11"/>
  <c r="E6" i="11"/>
  <c r="E8" i="11"/>
  <c r="E10" i="11"/>
  <c r="E12" i="11"/>
  <c r="E14" i="11"/>
  <c r="E16" i="11"/>
  <c r="E18" i="11"/>
  <c r="E20" i="11"/>
  <c r="E22" i="11"/>
  <c r="E24" i="11"/>
  <c r="E26" i="11"/>
  <c r="E28" i="11"/>
  <c r="E30" i="11"/>
  <c r="E32" i="11"/>
  <c r="E34" i="11"/>
  <c r="E36" i="11"/>
  <c r="E38" i="11"/>
  <c r="E40" i="11"/>
  <c r="E42" i="11"/>
  <c r="E5" i="11"/>
</calcChain>
</file>

<file path=xl/sharedStrings.xml><?xml version="1.0" encoding="utf-8"?>
<sst xmlns="http://schemas.openxmlformats.org/spreadsheetml/2006/main" count="336" uniqueCount="246">
  <si>
    <t>Planlama</t>
  </si>
  <si>
    <t>Düşünsel süreçleri kontrol etme</t>
  </si>
  <si>
    <t>Söz varlığı</t>
  </si>
  <si>
    <t>Organizasyon</t>
  </si>
  <si>
    <t>Akıcılık</t>
  </si>
  <si>
    <t>Temaya uygunluk</t>
  </si>
  <si>
    <t>Beden dili</t>
  </si>
  <si>
    <t>Ana duyguya uygunluk</t>
  </si>
  <si>
    <t>İş birliği</t>
  </si>
  <si>
    <t>İmge ve çağrışım kullanımı</t>
  </si>
  <si>
    <t>Açık ve örtük iletiler</t>
  </si>
  <si>
    <t>Zaman yönetimi</t>
  </si>
  <si>
    <t>Betimleme unsurları</t>
  </si>
  <si>
    <t>TOPLAM</t>
  </si>
  <si>
    <t>İçerik kurgusu</t>
  </si>
  <si>
    <t>Yazım ve noktalama</t>
  </si>
  <si>
    <t>Özgünlük</t>
  </si>
  <si>
    <t>Ritim ve ahenk</t>
  </si>
  <si>
    <t>BU SAYFADA ATÖLYE ÇALIŞMALARI,KİTAP OKUMA PERFORMANSI VE DERS İÇİ DURUM NOTLARININ 100 ÜZERİNDEN KARŞILIĞI VERİLMİŞTİR.LÜTFEN BU SAYFADA HERHANGİ BİR DEĞİŞİKLİK YAPMAYINIZ.DEĞİŞİKLİK İÇİN PUANLARIN BULUNDUĞU SAYFAYA GİDİNİZ VE DEĞİŞİKLİĞİ ORADA YAPINIZ.</t>
  </si>
  <si>
    <t>Okuma öncesinde metnin başlığını, görsellerini ve afişini inceler.</t>
  </si>
  <si>
    <t>Romanı / eseri okuma amacını, belirler.</t>
  </si>
  <si>
    <t>Okuduğu metni özetler.</t>
  </si>
  <si>
    <t>Okuduğu metnin iletisini belirler</t>
  </si>
  <si>
    <t>Okuduğu metindeki kurgu ve gerçek unsurları belirleyerek metne katkısını tartışırır.</t>
  </si>
  <si>
    <t>Okuduğu metinde ilk defa karşılaştığı bilgilerin doğruluğunu araştırır.</t>
  </si>
  <si>
    <t>Metindeki imge, sembol, metafor, çağrışım ve göndermeleri
 tespit eder.</t>
  </si>
  <si>
    <t>Okuduğu metnin içeriği ile daha önce karşılaştığı metinleri çeşitli açılardan karşılaştırır.</t>
  </si>
  <si>
    <t>Metnin yazarının yerine kendimi koyarak bu metnin daha iyi nasıl olabileceğini düşünür</t>
  </si>
  <si>
    <t>Okuduğum metni arkadaşlarımla tartışmak için argümanlar (çıkarım, kanıt) üretirir.</t>
  </si>
  <si>
    <t>Okuduğu metnin entelektüel merakına ve araştırmacı kişiliğine katkısını değerlendirir.</t>
  </si>
  <si>
    <t>Okuduğu metin hakkında öğretmenin ve arkadaşlarının fikirlerini öğrendikten sonra kendi görüşleriyle karşılaştırır.</t>
  </si>
  <si>
    <t>Okuduğu metinde geçen çatışmalara alternatif çözümler üretir./ Okuduğu metin öğretici metinse örnek metin oluşturur.</t>
  </si>
  <si>
    <t>Okuduğu metnin farklı disiplinlerle(psikoloji, tarih, felsefe, coğrafya vb.) ilişkilerini tespit eder.</t>
  </si>
  <si>
    <t>Derse hazırlıklı ve planlı gelme, ders dışı etkinliklerini gerçekleştirme</t>
  </si>
  <si>
    <t>Ders için gerekli araç gereçleri getirerek, düzenli ve temiz kullanma</t>
  </si>
  <si>
    <t>Türkçe'yi doğru ve düzgün konuşma ve yazma</t>
  </si>
  <si>
    <t>Derse karşı olumlu davranış geliştirme ve aktif katılma</t>
  </si>
  <si>
    <t>Arkadaşlarıyla işbirliği yapma  (Grup çalışmalarına  katılma)</t>
  </si>
  <si>
    <t xml:space="preserve">Verilen ödevleri (görevleri) zamanında yapma </t>
  </si>
  <si>
    <t>TÜRK DİLİ VE EDEBİYATI ÖĞRETMENİ</t>
  </si>
  <si>
    <t>SIRA NO</t>
  </si>
  <si>
    <t>ÖĞRENCİ NO</t>
  </si>
  <si>
    <t>ÖĞRENCİNİN ADI VE SOYADI</t>
  </si>
  <si>
    <t>1.DÖNEM                                                                                                                                                                                                                                                                            2. PERFORMANS PUANI</t>
  </si>
  <si>
    <t>1.DÖNEM                                                                                                                                                                                                                                                                                                                           1. PERFORMANS PUANI</t>
  </si>
  <si>
    <t>ÖLÇÜTLER</t>
  </si>
  <si>
    <t>AÇIKLAMALAR</t>
  </si>
  <si>
    <t>…./…./2026</t>
  </si>
  <si>
    <t>1.DÖNEM                                                                                                                                                                                                                                                                        1. PERFORMANS PUANI</t>
  </si>
  <si>
    <t>BU SAYFADA ATÖLYE ÇALIŞMALARI, KİTAP OKUMA PERFORMANSI VE DERS İÇİ DURUM NOTLARININ 100 ÜZERİNDEN KARŞILIĞI VERİLMİŞTİR. LÜTFEN BU SAYFADA HERHANGİ BİR DEĞİŞİKLİK YAPMAYINIZ. DEĞİŞİKLİK İÇİN PUANLARIN BULUNDUĞU SAYFAYA GİDİNİZ VE DEĞİŞİKLİĞİ ORADA YAPINIZ.</t>
  </si>
  <si>
    <t xml:space="preserve"> Eseri / Romanı okuma amacını, belirler.</t>
  </si>
  <si>
    <t xml:space="preserve">
</t>
  </si>
  <si>
    <t>II. TEMA                                                                                                                                                                                                                                                                                 KİTAP OKUMA PERFORMANS GÖREVİ                                                                                                                                                                                                               (%33)</t>
  </si>
  <si>
    <t>I .TEMA                                                                                                                                                                                                                                                                                KİTAP OKUMA PERFORMANS GÖREVİ                                                                                                                                                                                                                      (%33)</t>
  </si>
  <si>
    <t>DERS İÇİ DAVRANIŞ VE GÖZLEM / İZLEME PERFORMANS PUANI (%34)</t>
  </si>
  <si>
    <t>1. DÖNEM                                                                                                                                                                                                                                                                                    2. PERFORMANS PUANI</t>
  </si>
  <si>
    <t>…./11/2026</t>
  </si>
  <si>
    <t>I. Tema  Konuşma Performans Görevi Puanı  (%25)</t>
  </si>
  <si>
    <t>II. Tema Konuşma Performans Görevi Puanı (%25)</t>
  </si>
  <si>
    <t>I. Tema Yazma Performans Görevi  (%25)</t>
  </si>
  <si>
    <t>II. Tema Yazma Performans Görevi  (%25)</t>
  </si>
  <si>
    <t>NOT: Ölçütleri karşılama değerleri 3 puan iyi, 2 puan orta, 1 puan geliştirilebilir derecesini göstermektedir. Öğrencilerin performans görevinden  aldıkları puanların 100'lük sisteme dönüştürülmüş şeklini "1. Dönem Kitap Okuma  Performans Puanı" sayfasından görebilirsiniz.</t>
  </si>
  <si>
    <t>NOT: Ölçütleri karşılama değerleri 3 puan iyi, 2 puan orta, 1 puan geliştirilebilir derecesini göstermektedir.
Öğrencilerin performans görevinden  aldıkları puanların 100'lük sisteme dönüştürülmüş şeklini son sayfada görebilirsiniz.</t>
  </si>
  <si>
    <t>BU SAYFADA ATÖLYE ÇALIŞMALARI, DURUM NOTLARININ 100 ÜZERİNDEN KARŞILIĞI VERİLMİŞTİR. LÜTFEN BU SAYFADA HERHANGİ BİR DEĞİŞİKLİK YAPMAYINIZ. DEĞİŞİKLİK İÇİN PUANLARIN BULUNDUĞU SAYFAYA GİDİNİZ VE DEĞİŞİKLİĞİ ORADA YAPINIZ.</t>
  </si>
  <si>
    <t>Başlangıç Düzeyinde</t>
  </si>
  <si>
    <t>Kabul Edilebilir</t>
  </si>
  <si>
    <t>İyi</t>
  </si>
  <si>
    <t>Çok İyi</t>
  </si>
  <si>
    <t>Beden Dili</t>
  </si>
  <si>
    <t>İş Birliği</t>
  </si>
  <si>
    <t>Zaman Yönetimi</t>
  </si>
  <si>
    <t>Düşünsel Süreçleri Kontrol Etme</t>
  </si>
  <si>
    <t>Değerlendirme: Bu puanlama anahtarından en düşük 40 puan, en yüksek 100 puan alınabilir.</t>
  </si>
  <si>
    <t>Konuşmaya etkili giriş yapma, konuşmayı sürdürme etkili
bir tamamlama istenilen düzeyde yapılmamıştır.
(4 puan)</t>
  </si>
  <si>
    <t>Konuşmaya etkili giriş yapma, konuşmayı sürdürme etkili
bir şekilde tamamlama kabul edilebilir düzeyde yapılmıştır.
(6 puan)</t>
  </si>
  <si>
    <t>Konuşmaya etkili giriş yapma, konuşmayı sürdürme etkili
bir şekilde tamamlama iyi düzeyde yapılmıştır.
(8 puan)</t>
  </si>
  <si>
    <t>Konuşmaya etkili giriş yapma, konuşmayı sürdürme etkili
bir şekilde tamamlama çok iyi düzeyde yapılmıştır.
(10 puan)</t>
  </si>
  <si>
    <t>Düşünceleri, konuşmanın ana fikri etrafında ifade edememiştir.
(4 puan)</t>
  </si>
  <si>
    <t>Düşünceleri, konuşmanın ana fikri etrafında iyi düzeyde ifade etmiştir.
(8 puan)</t>
  </si>
  <si>
    <t>Duygu ve düşüncelerini tutarlı bir biçimde organize edememiştir.
(4 puan)</t>
  </si>
  <si>
    <t>Bağlama uygun zengin bir kelime hazinesiyle anlatımını kabul edilebilir düzeyde zenginleşmiştir.
(6 puan)</t>
  </si>
  <si>
    <t>Bağlama uygun zengin bir kelime hazinesiyle anlatımını iyi düzeyde zenginleşmiştir.
(8 puan)</t>
  </si>
  <si>
    <t>Bağlama uygun zengin bir kelime hazinesiyle anlatımını çok iyi düzeyde zenginleşmiştir.
(10 puan)</t>
  </si>
  <si>
    <t>Duygu ve düşüncelerini kabul edilebilir düzeyde organize etmiştir.
(6 puan)</t>
  </si>
  <si>
    <t>İşitilebilir bir
ses tonuyla konuşmamıştır.
(4 puan)</t>
  </si>
  <si>
    <t>İşitilebilir bir ses tonuyla iyi düzeyde konuşmuştur.
(8 puan)</t>
  </si>
  <si>
    <t>İşitilebilir bir ses tonuyla çok iyi düzeyde konuşmuştur.
(10 puan)</t>
  </si>
  <si>
    <t>Gereksiz ses tekrarına düşmeden akıcı bir şekilde konuşmamıştır.
(4 puan)</t>
  </si>
  <si>
    <t>İşitilebilir bir
ses tonuyla kabul edilebilir düzeyde konuşmuştur. (6 puan)</t>
  </si>
  <si>
    <t>Gereksiz ses tekrarına düşmeden akıcı bir şekilde iyi düzeyde konuşmuştur.
(8 puan)</t>
  </si>
  <si>
    <t>Gereksiz ses tekrarına
düşmeden akıcı bir şekilde çok iyi düzeyde konuşmuştur.
(10 puan)</t>
  </si>
  <si>
    <t>Konuşmada jest ve mimikleri etkili kullanmış, dinleyicilerle
yeterli göz teması kurmamıştır. (4 puan)</t>
  </si>
  <si>
    <t>Konuşmada jest ve mimikleri etkili kullanmış, dinleyicilerle yeterli göz teması kurmuştur.
(6 puan)</t>
  </si>
  <si>
    <t>Konuşmada jest ve mimikleri etkili kullanmış, dinleyicilerle yeterli iyi düzeyde göz teması kurmuştur. (8 puan)</t>
  </si>
  <si>
    <t>Konuşmada jest ve mimikleri etkili kullanmış, dinleyicilerle çok iyi göz teması kurmuştur.
(10 puan)</t>
  </si>
  <si>
    <t>Takımda yapılan görev paylaşımı doğrultusunda seçilen şapkanın temsil ettiği görevi kabul edilebilir düzeyde yerine getirmiştir. (6 puan)</t>
  </si>
  <si>
    <t>Takımda yapılan görev paylaşımı doğrultusunda seçilen şapkanın temsil ettiği görevi yerine getirmemiştir.                  (4 puan)</t>
  </si>
  <si>
    <t>Takımda yapılan görev paylaşımı doğrultusunda seçilen şapkanın temsil ettiği görevi iyi düzeyde yerine getirmiştir.
(8 puan)</t>
  </si>
  <si>
    <t>Takımda yapılan görev paylaşımı doğrultusunda seçilen şapkanın temsil ettiği görevi çok iyi düzeyde yerine getirmiştir. (10 puan)</t>
  </si>
  <si>
    <t>Bu form, öğrencilerin Düşüncelerimi Sunuyorum başlıklı yazma performans çalışmasını değerlendirmeniz amacıyla hazırlanmıştır. Öğrencilerin belirtilen ölçütlere ilişkin öğrenme düzeyini tablodaki açıklamalardan hareketle puanlayınız.</t>
  </si>
  <si>
    <t>Konuşmada süreyi etkin bir şekilde kullanmamıştır.
(4 puan)</t>
  </si>
  <si>
    <t>Konuşmada süreyi kabul edilebilir düzeyde kullanmıştır.
(6 puan)</t>
  </si>
  <si>
    <t>Konuşmada süreyi iyi düzeyde kullanmıştır.
(8 puan)</t>
  </si>
  <si>
    <t>Konuşmada süreyi çok iyi düzeyde kullanmıştır.
(10 puan)</t>
  </si>
  <si>
    <t>Vurgu ve tonlamaya dikkat ederek akıcı bir şekilde konuşmamıştır.
(4 puan)</t>
  </si>
  <si>
    <t>Vurgu ve tonlamaya dikkat ederek akıcı bir şekilde iyi düzeyde konuşmuştur.
(8 puan)</t>
  </si>
  <si>
    <t>Vurgu ve tonlamaya dikkat ederek akıcı bir şekilde çok iyi düzeyde konuşmuştur.
(10 puan)</t>
  </si>
  <si>
    <t>Vurgu ve tonlamaya dikkat ederek akıcı bir şekilde kabul edilebilir düzeyde konuşmuştur.                                                                                                                                                           (6 puan)</t>
  </si>
  <si>
    <t>Düşünceleri, konuşmanın ana fikri etrafında kabul edilebilir düzeyde ifade etmiştir. (6 puan)</t>
  </si>
  <si>
    <t>Düşünceleri, konuşmanın ana fikri etrafında çok iyi düzeyde ifade etmiştir. (10 puan)</t>
  </si>
  <si>
    <t>Duygu ve düşüncelerini tutarlı bir biçimde iyi düzeyde organize etmiştir. (8 puan)</t>
  </si>
  <si>
    <t>Duygu ve düşüncelerini tutarlı bir biçimde çok iyi düzeyde organize etmiştir. (10 puan)</t>
  </si>
  <si>
    <t>Gereksiz ses tekrarına düşmeden akıcı bir şekilde kabul edilebilir düzeyde konuşmuştur.                                                                                                                                                    (6 puan)</t>
  </si>
  <si>
    <t>…./…./2027</t>
  </si>
  <si>
    <t>Sunumu planlama ve plan doğrultusunda gerçekleştirme istenilen düzeyde yapılmamıştır.
(4 puan)</t>
  </si>
  <si>
    <t>Sunumu planlama ve plan doğrultusunda gerçekleştirme iyi düzeyde yapılmıştır.
(8 puan)</t>
  </si>
  <si>
    <t>Sunumu planlama ve planlama doğrultusunda gerçekleştirme istenilen çok iyi düzeyde yapılmıştır.   (10 puan)</t>
  </si>
  <si>
    <t>Sunumu planlama ve planlama doğrultusunda gerçekleştirme kabul edilebilir düzeyde yapılmıştır. (6 puan)</t>
  </si>
  <si>
    <t>Sunumu amaca uygun örneklerle desteklememiştir.
(4 puan)</t>
  </si>
  <si>
    <t>Sunumu amaca uygun örneklerle kabul edilebilir düzeyde desteklemiştir.
(6 puan)</t>
  </si>
  <si>
    <t>Sunumu amaca uygun örneklerle iyi düzeyde desteklemiştir.
(8 puan)</t>
  </si>
  <si>
    <t>Sunumu amaca uygun örneklerle çok iyi düzeyde desteklemiştir.
(10 puan)</t>
  </si>
  <si>
    <t>Yazılı ürünü imge ve çağrışım değeri yüksek ifadelerle yeterli düzeyde zenginleştirmemiştir.
(4 puan)</t>
  </si>
  <si>
    <t>Yazılı ürünü imge ve çağrışım değeri yüksek ifadelerle kabul edilebilir düzeyde zenginleştirmiştir.
(6 puan)</t>
  </si>
  <si>
    <t>Yazılı ürünü imge ve çağrışım değeri yüksek ifadelerle iyi düzeyde zenginleştirmiştir.
(8 puan)</t>
  </si>
  <si>
    <t>Yazılı ürünü imge ve çağrışım değeri yüksek ifadelerle çok iyi düzeyde zenginleştirmiştir.
(10 puan)</t>
  </si>
  <si>
    <t>Gereksiz ses tekrarlarına düşmeden sunumu akıcı bir şekilde gerçekleştirmemiştir.
(4 puan)</t>
  </si>
  <si>
    <t>Gereksiz ses tekrarlarına düşmeden sunumu akıcı bir şekilde kabul edilebilir seviyede gerçekleştirmiştir.
(6 puan)</t>
  </si>
  <si>
    <t>Gereksiz ses tekrarlarına düşmeden sunumu akıcı bir şekilde iyi düzeyde gerçekleştirmiştir.
(8 puan)</t>
  </si>
  <si>
    <t>Gereksiz ses tekrarlarına düşmeden sunumu akıcı bir şekilde çok iyi düzeyde gerçekleştirmiştir.
(10 puan)</t>
  </si>
  <si>
    <t>Sunumda jest ve mimiklerini etkili kullanmamış, dinleyicilerle yeterli göz temasını kurmamıştır.
(4 puan)</t>
  </si>
  <si>
    <t>Sunumda jest ve mimiklerini etkili kullanmış, dinleyicilerle kabul edilebilir
düzeyde temasını kurmuştur.
(6 puan)</t>
  </si>
  <si>
    <t>Sunumda jest ve mimiklerini etkili kullanmış, dinleyicilerle yeterli göz temasını iyi düzeyde kurmuştur.
(8 puan)</t>
  </si>
  <si>
    <t>Sunumda jest ve mimiklerini etkili kullanmış, dinleyicilerle yeterli göz temasını çok iyi düzeyde kuramuştur.
(10 puan)</t>
  </si>
  <si>
    <t>Sunumda takım içindeki sorumluluğunu istenilen düzeyde yerine getirmemiştir.
(4 puan)</t>
  </si>
  <si>
    <t>Sunumda takım içindeki sorumluluğunu kabul edilebilir düzeyde yerine getirmiştir.
(6 puan)</t>
  </si>
  <si>
    <t>Sunumda takım içindeki sorumluluğunu iyi düzeyde yerine getirmiştir.
(8 puan)</t>
  </si>
  <si>
    <t>Sunumda takım içindeki sorumluluğunu çok iyi düzeyde yerine getirmiştir.
(10 puan)</t>
  </si>
  <si>
    <t>Sunumunda süreyi etkili bir şekilde kullanmamıştır.
(4 puan)</t>
  </si>
  <si>
    <t>Sunumunda süreyi kabul edilebilir düzeyde kullanmıştır.
(6 puan)</t>
  </si>
  <si>
    <t>Süreyi etkili bir şekilde kullanarak sunumu iyi düzeyde gerçekleştirmiştir.
(8 puan)</t>
  </si>
  <si>
    <t>Süreyi etkili bir şekilde kullanarak sunumu çok iyi düzeyde gerçekleştirmiştir.
(10 puan)</t>
  </si>
  <si>
    <t>Yazılı üründe yazım kurallarının ve noktalama işaretlerinin kullanımı yeterli düzeyde değildir.
(4 puan)</t>
  </si>
  <si>
    <t>Yazılı üründe yazım kurallarının ve noktalama işaretlerinin kullanımı iyi düzeydedir.
(8 puan)</t>
  </si>
  <si>
    <t>Yazılı üründe yazım kurallarının ve noktalama işaretlerinin kullanımı çok iyi düzeydedir.
(10 puan)</t>
  </si>
  <si>
    <t>Yazılı üründe yazım kurallarının ve noktalama işaretlerinin kullanımı kabul edilebilir düzeydedir. (6 puan)</t>
  </si>
  <si>
    <t>Sunumda açık ve örtük iletilere iyi düzeyde yer vermiştir.
(8 puan)</t>
  </si>
  <si>
    <t>Sunumda açık ve örtük iletilere çok iyi düzeyde yer vermiştir.
(10 puan)</t>
  </si>
  <si>
    <t>Sunumda karşılaştırma, betimleme, benzetme gibi düşünceyi geliştirme yollarından yararlanmamıştır.
(4 puan)</t>
  </si>
  <si>
    <t>Gereksiz ses tekrarlarına düşmeden sunumu akıcı bir şekilde iyi düzeyde gerçekleştirmiştir.
(6 puan)</t>
  </si>
  <si>
    <t>Sunumda karşılaştırma, betimleme, benzetme gibi düşünceyi geliştirme yollarından iyi düzeyde yararlanmıştır.
(8 puan)</t>
  </si>
  <si>
    <t>Sunumda karşılaştırma, betimleme, benzetme gibi düşünceyi geliştirme yollarından çok iyi düzeyde yararlanmıştır.
(10 puan)</t>
  </si>
  <si>
    <t>Bu form, öğrencilere Karakterimin Yolculuğu başlıklı konuşma performans çalışmasını değerlendirmeniz amacıyla hazırlanmıştır. Öğrencilerin belirtilen ölçütlere ilişkin öğrenme düzeyini tablodaki açıklamalardan hareketle puanlayınız.</t>
  </si>
  <si>
    <t>Bu form, öğrencilerin Duygularımı Betimliyorum başlıklı yazma performans çalışmasını değerlendirmeniz amacıyla hazırlanmıştır. Öğrencilerin belirtilen ölçütlere ilişkin öğrenme düzeyini tablodaki açıklamalardan hareketle puanlayınız.</t>
  </si>
  <si>
    <t>Dörtlüklerin temasını yeterli düzeyde yansıtmamıştır.
(4 puan)</t>
  </si>
  <si>
    <t>Dörtlüklerin temasını kabul edilebilir düzeyde yansıtmıştır.
(6 puan)</t>
  </si>
  <si>
    <t>Dörtlüklerin temasını iyi düzeyde yansıtmıştır.
(8 puan)</t>
  </si>
  <si>
    <t>Dörtlüklerin temasını çok iyi düzeyde yansıtmıştır.
(10 puan)</t>
  </si>
  <si>
    <t>Dörtlüklerin ana duygusunu yeterli düzeyde yansıtmamıştır.
(4 puan)</t>
  </si>
  <si>
    <t>Dörtlüklerin ana duygusunu kabul edilebilir düzeyde yansıtmıştır.
(6 puan)</t>
  </si>
  <si>
    <t>Dörtlüklerin ana duygusunu iyi düzeyde yansıtmıştır.
(8 puan)</t>
  </si>
  <si>
    <t>Dörtlüklerin ana duygusunu çok iyi düzeyde yansıtmıştır.
(10 puan)</t>
  </si>
  <si>
    <t>Dörtlüklerin açık ve örtük iletilerini yeterli düzeyde yansıtmamıştır.
(4 puan)</t>
  </si>
  <si>
    <t>Dörtlüklerin açık ve örtük iletilerini kabul edilebilir düzeyde yansıtmıştır.
(6 puan)</t>
  </si>
  <si>
    <t>Dörtlüklerin açık ve örtük iletilerini iyi düzeyde yansıtmıştır.
(8 puan)</t>
  </si>
  <si>
    <t>Dörtlüklerin açık ve örtük iletilerini çok iyi düzeyde yansıtmıştır.
(10 puan)</t>
  </si>
  <si>
    <t>Yazılı üründe niteleyici kelime ve kelime gruplarının anlatımı zenginleştirecek şekilde yeterli düzeyde kullanmamıştır. (4 puan)</t>
  </si>
  <si>
    <t>Yazılı üründe niteleyici kelime ve kelime gruplarının anlatımı zenginleştirecek şekilde kabul edilebilir düzeyde kullanmıştır. (6 puan)</t>
  </si>
  <si>
    <t>Yazılı üründe niteleyici kelime ve kelime gruplarının anlatımı zenginleştirecek şekilde iyi düzeyde kullanmıştır.                                                                                                                             (8 puan)</t>
  </si>
  <si>
    <t>Yazılı üründe niteleyici kelime ve kelime gruplarının anlatımı zenginleştirecek şekilde çok iyi düzeyde kullanmıştır.                                                                                                                     (10 puan)</t>
  </si>
  <si>
    <t>Dilimize henüz yerleşmemiş yabancı kelimelerin yerine Türkçe kelimeleri yeterli düzeyde kullanmamıştır.
(4 puan)</t>
  </si>
  <si>
    <t>Dilimize henüz yerleşmemiş yabancı kelimelerin yerine Türkçe kelimeleri iyi düzeyde kullanmıştır.
(8 puan)</t>
  </si>
  <si>
    <t>Dilimize henüz yerleşmemiş yabancı kelimelerin yerine Türkçe kelimeleri çok iyi düzeyde kullanmıştır.
(10 puan)</t>
  </si>
  <si>
    <t>Dilimize henüz yerleşmemiş yabancı kelimelerin yerine Türkçe kelimeleri kabul edilebilir düzeyde kullanmıştır.
(6 puan)</t>
  </si>
  <si>
    <t>Bölümler arası geçişleri eksik yapmış yeterli düzeyde sağlayamamıştır.
(4 puan)</t>
  </si>
  <si>
    <t>Bölümler arası geçişleri kabul edilebilir düzeyde sağlamıştır.
(6 puan)</t>
  </si>
  <si>
    <t>Bölümler arası geçişleri iyi düzeyde sağlamıştır.
(8 puan)</t>
  </si>
  <si>
    <t>Bölümler arası geçişleri çok iyi düzeyde sağlamıştır.
(10 puan)</t>
  </si>
  <si>
    <t>Yazılı ürünü özgün fikirlerle zenginleştirme yeterli düzeyde yapılamamıştır.
(8 puan)</t>
  </si>
  <si>
    <t>Yazılı ürünü özgün fikirlerle zenginleştirme kabul edilebilir düzeyde yapılmıştır.
(12 puan)</t>
  </si>
  <si>
    <t>Yazılı ürünü özgün fikirlerle zenginleştirme iyi düzeyde yapılmıştır.
(16 puan)</t>
  </si>
  <si>
    <t>Yazılı ürünü özgün fikirlerle zenginleştirme çok iyi düzeyde yapılmıştır.
(20 puan)</t>
  </si>
  <si>
    <t>Akıcılık ve anlatım</t>
  </si>
  <si>
    <t>Şiirin Sunumu</t>
  </si>
  <si>
    <t>Bu form, öğrencilerin Genç Şairlerden Mısralar başlıklı yazma performans çalışmasını değerlendirmeniz amacıyla hazırlanmıştır. Öğrencilerin belirtilen ölçütlere ilişkin öğrenme düzeyini tablodaki açıklamalardan hareketle puanlayınız.</t>
  </si>
  <si>
    <t>Yazılı ürünü bir plan doğrultusunda oluşturmamıştır.
(4 puan)</t>
  </si>
  <si>
    <t>Yazılı ürünü bir plan doğrultusunda iyi seviyede oluşturmuştur.
(8 puan)</t>
  </si>
  <si>
    <t>Yazılı ürünü bir plan doğrultusunda çok iyi seviyede oluşturmuştur.
(10 puan)</t>
  </si>
  <si>
    <t>Yazılı ürünü bir plan doğrultusunda kabul edilebilir seviyede oluşturmuştur. (6 puan)</t>
  </si>
  <si>
    <t>Yazılı üründe dinlediği şiirin temasına uygun duyguları değerlendirmemiştir.
4 puan)</t>
  </si>
  <si>
    <t>Yazılı üründe dinlediği şiirin temasına uygun duyguları kabul edilebilir seviyede değerlendirmiştir.
(6 puan)</t>
  </si>
  <si>
    <t>Yazılı üründe dinlediği şiirin temasına uygun duyguları iyi seviyede değerlendirir.
(8 puan)</t>
  </si>
  <si>
    <t>Yazılı üründe dinlediği şiirin temasına uygun duyguları çok iyi değerlendirmiştir.
(10 puan)</t>
  </si>
  <si>
    <t>Yazılı ürünün anlamını zenginleştiren imgelerden yararlanmamıştır.
(4 puan)</t>
  </si>
  <si>
    <t>Kelimeleri okurda çağrışım uyandıracak şekilde kullanmamıştır.
(4 puan)</t>
  </si>
  <si>
    <t>Yazılı ürünün anlamını zenginleştiren imgelerden kabul edilebilir seviyede yararlanmıştır.
(6 puan)</t>
  </si>
  <si>
    <t>Kelimeleri okurda çağrışım uyandıracak şekilde kabul edilebilir seviyede kullanır.                                                                                                                                                           (6 puan)</t>
  </si>
  <si>
    <t>Yazılı ürünün anlamını zenginleştiren imgelerden iyi seviyede yararlanmıştır.
(8 puan)</t>
  </si>
  <si>
    <t>Kelimeleri okurda çağrışım uyandıracak şekilde iyi seviyede kullanır.
(8 puan)</t>
  </si>
  <si>
    <t>Yazılı ürünün anlamını zenginleştiren imgelerden çok iyi seviyede yararlanmıştır.
(10 puan)</t>
  </si>
  <si>
    <t>Kelimeleri okurda çağrışım uyandıracak şekilde çok iyi seviyede kullanır.
(10 puan)</t>
  </si>
  <si>
    <t>Temaya uygun açık ve örtük iletilerle ana duyguyu değerlendirmemiştir.
(4 puan)</t>
  </si>
  <si>
    <t>Temaya uygun açık ve örtük iletilerle ana duyguyu kabul edilebilir seviyede değerlendirmiştir.
(6 puan)</t>
  </si>
  <si>
    <t>Temaya uygun açık ve örtük iletilerle ana duyguyu iyi seviyede değerlendirmiştir.
(8 puan)</t>
  </si>
  <si>
    <t>Temaya uygun açık ve örtük iletilerle ana duyguyu çok iyi seviyede değerlendirir.
(10 puan)</t>
  </si>
  <si>
    <t>Bağlama uygun sözcüklerle yazılı ürünü zenginleştirmemiştir.
(4 puan)</t>
  </si>
  <si>
    <t>Bağlama uygun sözcüklerle
yazılı ürünü kabul edilebilir seviyede zenginleştirmiştir.
(6 puan)</t>
  </si>
  <si>
    <t>Bağlama uygun sözcüklerle yazılı ürünü iyi seviyede zenginleştirmiştir.
(8 puan)</t>
  </si>
  <si>
    <t>Bağlama uygun sözcüklerle yazılı ürünü çok iyi seviyede zenginleştirmiştir.
(10 puan)</t>
  </si>
  <si>
    <t>Dizelerdeki hecelerin eşitliğiyle ritim ve ahenk oluşturmamıştır.
(4 puan)</t>
  </si>
  <si>
    <t>Dizelerdeki hecelerin eşitliğiyle ritim ve ahengi kabul edilebilir seviyede oluşturmuştur.
(6 puan)</t>
  </si>
  <si>
    <t>Dizelerdeki hecelerin eşitliğiyle ritim ve ahengi iyi seviyede oluşturur.
(8 puan)</t>
  </si>
  <si>
    <t>Dizelerdeki hecelerin eşitliğiyle ritim ve ahengi çok iyi seviyede oluşturmuştur.
(10 puan)</t>
  </si>
  <si>
    <t>Bölümler arası geçişleri
başarıyla yaparak yazılı ürünün kolay okunmasını sağlamamıştır.
(4 puan)</t>
  </si>
  <si>
    <t>Bölümler arası geçişleri
başarıyla yaparak yazılı ürünün kolay okunmasını kabul edilebilir seviyede sağlamıştır. (6 puan)</t>
  </si>
  <si>
    <t>Bölümler arası geçişleri başarıyla yaparak yazılı ürünün kolay okunmasını iyi seviyede sağlamıştır.
(8 puan)</t>
  </si>
  <si>
    <t>Bölümler arası geçişleri
başarıyla yaparak yazılı ürünün kolay okunmasını çok iyi seviyede sağlamıştır. (10 puan)</t>
  </si>
  <si>
    <t>Yazılı ürünü
vurgu ve tonlamaya dikkat ederek sunmamıştır.
(4 puan)</t>
  </si>
  <si>
    <t>Yazılı ürünü sunarken kelimeleri doğru telaffuz etmemiştir.
(4 puan)</t>
  </si>
  <si>
    <t>Yazılı ürünü sunarken kelimeleri iyi seviyede doğru telaffuz eder.
(8 puan)</t>
  </si>
  <si>
    <t>Yazılı ürünü
vurgu ve tonlamaya dikkat ederek kabul edilebilir seviyede sunmuştur. (6 puan)</t>
  </si>
  <si>
    <t>Yazılı ürünü vurgu ve tonlamaya dikkat ederek iyi seviyede sunmuştur.
(8 puan)</t>
  </si>
  <si>
    <t>Yazılı ürünü sunarken kelimeleri kabul edilebilir seviyede doğru telaffuz eder. (6 puan)</t>
  </si>
  <si>
    <t>Yazılı ürünü
vurgu ve tonlamaya dikkat ederek çok iyi seviyede sunmuştur.
(10 puan)</t>
  </si>
  <si>
    <t>Yazılı ürünü sunarken kelimeleri çok iyi seviyede doğru telaffuz eder. (10 puan)</t>
  </si>
  <si>
    <t>EKREM YEKREK</t>
  </si>
  <si>
    <t>SAMİ İL</t>
  </si>
  <si>
    <t>AHMET ÖZBAHAR</t>
  </si>
  <si>
    <t>FATMA ŞENGÜL</t>
  </si>
  <si>
    <t>GÖNÜL KORKUT</t>
  </si>
  <si>
    <t>MEHMET TANER</t>
  </si>
  <si>
    <t>HARUN DERİN</t>
  </si>
  <si>
    <t>MERVE KAMALAK</t>
  </si>
  <si>
    <t>ÜMRAN AYKIŞ</t>
  </si>
  <si>
    <t>IŞIL ÖZLER</t>
  </si>
  <si>
    <t>2026-2027 EĞİTİM ÖĞRETİM YILI                                                                                                                                                                                                                                   ....................... ANADOLU LİSESİ                                                                                                                                                                                               9/A SINIFI</t>
  </si>
  <si>
    <t>……………….. ANADOLU LİSESİ 9/A SINIFI TÜRK DİLİ VE EDEBİYATI DERSİ 1. DÖNEM 1. TEMA KONUŞMA PERFORMANS GÖREVİ DEĞERLENDİRME ÖLÇEĞİ</t>
  </si>
  <si>
    <t>………………….ANADOLU LİSESİ 9/A SINIFI TÜRK DİLİ VE EDEBİYATI DERSİ 1. DÖNEM 2. TEMA KONUŞMA PERFORMANS GÖREVİ DEĞERLENDİRME ÖLÇEĞİ</t>
  </si>
  <si>
    <t>…………………. ANADOLU LİSESİ 9/A SINIFI TÜRK DİLİ VE EDEBİYATI DERSİ 1. DÖNEM 1. TEMA YAZMA PERFORMANS GÖREVİ DEĞERLENDİRME ÖLÇEĞİ</t>
  </si>
  <si>
    <t xml:space="preserve">………………………... ANADOLU LİSESİ 9/A SINIFI TÜRK DİLİ VE EDEBİYATI DERSİ 1. DÖNEM 2. TEMA YAZMA PERFORMANS GÖREVİ </t>
  </si>
  <si>
    <t xml:space="preserve">2026-2027 EĞİTİM ÖĞRETİM YILI ........................................... ANADOLU LİSESİ                                                                                                                                                                                 9/A SINIFI TÜRK DİLİ VE EDEBİYATI DERSİ 1. DÖNEM 1. PERFORMANS PUANLARI                                                                                                                                                                                                                                          </t>
  </si>
  <si>
    <t>................................. ANADOLU LİSESİ 9/A  SINIFI TÜRK DİLİ VE EDEBİYATI DERSİ 1. DÖNEM 1. TEMA KİTAP OKUMA PERFORMANS GÖREVİ DEĞERLENDİRME ÖLÇEĞİ                                                                                                                                                                                                                                                                     (2. PERFORMANS PUANI İÇİN)
ZÜMRE KARARI İLE OKUTULMAK ÜZERE SEÇİLEN KİTABIN ADI:…………………………………………………………</t>
  </si>
  <si>
    <t>........................................ ANADOLU LİSESİ 9/A SINIFI TÜRK DİLİ VE EDEBİYATI DERSİ 1. DÖNEM 2. TEMA KİTAP OKUMA PERFORMANS GÖREVİ DEĞERLENDİRME ÖLÇEĞİ                                                                                                                                                                                                                                                                     (2. PERFORMANS PUANI İÇİN)
ZÜMRE KARARI İLE OKUTULMAK ÜZERE SEÇİLEN KİTABIN ADI:…………………………………………………………</t>
  </si>
  <si>
    <t xml:space="preserve">……………………...ANADOLU LİSESİ 9/A  SINIFI TÜRK DİLİ VE EDEBİYATI DERSİ 1. DÖNEM 2. PERFORMANS PUANI İÇİN DERS İÇİ GÖZLEM VE DAVRANIŞLAR DEĞERLENDİRME ÖLÇEĞİ </t>
  </si>
  <si>
    <t xml:space="preserve">2026-2027 EĞİTİM ÖĞRETİM YILI  ...................................... ANADOLU LİSESİ                                                                                                                                                                                                                                                                                                                          9/ATP SINIFI TÜRK DİLİ VE EDEBİYATI DERSİ                                                                                                                                                                                                             1. DÖNEM 2. PERFORMANS PUANLARI </t>
  </si>
  <si>
    <t xml:space="preserve">2026-2027 EĞİTİM ÖĞRETİM YILI                                                                                                                                                                                                                                   .......................................... ANADOLU LİSESİ                                                                                                                                                                                               9/A SINIFI TÜRK DİLİ VE EDEBİYATI DERSİ                                                                                                                                                                                                             1. DÖNEM 1. VE 2. PERFORMANS PUANLARI BİRLEŞTİRME ÇİZELGESİ      </t>
  </si>
</sst>
</file>

<file path=xl/styles.xml><?xml version="1.0" encoding="utf-8"?>
<styleSheet xmlns="http://schemas.openxmlformats.org/spreadsheetml/2006/main" xmlns:mc="http://schemas.openxmlformats.org/markup-compatibility/2006" xmlns:x14ac="http://schemas.microsoft.com/office/spreadsheetml/2009/9/ac" mc:Ignorable="x14ac">
  <fonts count="27">
    <font>
      <sz val="11"/>
      <color theme="1"/>
      <name val="Aptos Narrow"/>
      <scheme val="minor"/>
    </font>
    <font>
      <sz val="11"/>
      <color theme="1"/>
      <name val="Aptos Narrow"/>
      <family val="2"/>
      <charset val="162"/>
      <scheme val="minor"/>
    </font>
    <font>
      <sz val="11"/>
      <color theme="1"/>
      <name val="Aptos Narrow"/>
    </font>
    <font>
      <sz val="11"/>
      <name val="Aptos Narrow"/>
    </font>
    <font>
      <sz val="11"/>
      <color theme="1"/>
      <name val="Aptos Narrow"/>
      <family val="2"/>
      <scheme val="minor"/>
    </font>
    <font>
      <b/>
      <sz val="11"/>
      <color theme="1"/>
      <name val="Aptos Narrow"/>
      <family val="2"/>
      <scheme val="minor"/>
    </font>
    <font>
      <b/>
      <sz val="9"/>
      <color theme="1"/>
      <name val="Aptos Narrow"/>
      <family val="2"/>
      <scheme val="minor"/>
    </font>
    <font>
      <b/>
      <sz val="11"/>
      <color theme="1"/>
      <name val="Comic Sans MS"/>
      <family val="4"/>
      <charset val="162"/>
    </font>
    <font>
      <b/>
      <sz val="12"/>
      <color theme="1"/>
      <name val="Comic Sans MS"/>
      <family val="4"/>
      <charset val="162"/>
    </font>
    <font>
      <b/>
      <sz val="14"/>
      <color theme="1"/>
      <name val="Comic Sans MS"/>
      <family val="4"/>
      <charset val="162"/>
    </font>
    <font>
      <b/>
      <sz val="16"/>
      <color theme="1"/>
      <name val="Comic Sans MS"/>
      <family val="4"/>
      <charset val="162"/>
    </font>
    <font>
      <b/>
      <sz val="14"/>
      <name val="Comic Sans MS"/>
      <family val="4"/>
      <charset val="162"/>
    </font>
    <font>
      <b/>
      <sz val="14"/>
      <color indexed="8"/>
      <name val="Comic Sans MS"/>
      <family val="4"/>
      <charset val="162"/>
    </font>
    <font>
      <b/>
      <sz val="22"/>
      <color theme="1"/>
      <name val="Comic Sans MS"/>
      <family val="4"/>
      <charset val="162"/>
    </font>
    <font>
      <b/>
      <sz val="18"/>
      <color theme="1"/>
      <name val="Comic Sans MS"/>
      <family val="4"/>
      <charset val="162"/>
    </font>
    <font>
      <b/>
      <sz val="14"/>
      <color rgb="FF231F20"/>
      <name val="Comic Sans MS"/>
      <family val="4"/>
      <charset val="162"/>
    </font>
    <font>
      <b/>
      <sz val="15"/>
      <color theme="1"/>
      <name val="Comic Sans MS"/>
      <family val="4"/>
      <charset val="162"/>
    </font>
    <font>
      <b/>
      <sz val="12"/>
      <color rgb="FF231F20"/>
      <name val="Comic Sans MS"/>
      <family val="4"/>
      <charset val="162"/>
    </font>
    <font>
      <b/>
      <sz val="20"/>
      <color theme="1"/>
      <name val="Comic Sans MS"/>
      <family val="4"/>
      <charset val="162"/>
    </font>
    <font>
      <sz val="11"/>
      <color theme="1"/>
      <name val="Comic Sans MS"/>
      <family val="4"/>
      <charset val="162"/>
    </font>
    <font>
      <b/>
      <sz val="13.5"/>
      <color theme="1"/>
      <name val="Comic Sans MS"/>
      <family val="4"/>
      <charset val="162"/>
    </font>
    <font>
      <b/>
      <sz val="12"/>
      <name val="Comic Sans MS"/>
      <family val="4"/>
      <charset val="162"/>
    </font>
    <font>
      <b/>
      <sz val="24"/>
      <color theme="1"/>
      <name val="Comic Sans MS"/>
      <family val="4"/>
      <charset val="162"/>
    </font>
    <font>
      <b/>
      <sz val="24"/>
      <name val="Comic Sans MS"/>
      <family val="4"/>
      <charset val="162"/>
    </font>
    <font>
      <b/>
      <sz val="24"/>
      <color rgb="FF231F20"/>
      <name val="Comic Sans MS"/>
      <family val="4"/>
      <charset val="162"/>
    </font>
    <font>
      <sz val="24"/>
      <name val="Comic Sans MS"/>
      <family val="4"/>
      <charset val="162"/>
    </font>
    <font>
      <b/>
      <sz val="13"/>
      <color theme="1"/>
      <name val="Comic Sans MS"/>
      <family val="4"/>
      <charset val="162"/>
    </font>
  </fonts>
  <fills count="6">
    <fill>
      <patternFill patternType="none"/>
    </fill>
    <fill>
      <patternFill patternType="gray125"/>
    </fill>
    <fill>
      <patternFill patternType="solid">
        <fgColor rgb="FFFFFF00"/>
        <bgColor rgb="FFFFFF00"/>
      </patternFill>
    </fill>
    <fill>
      <patternFill patternType="solid">
        <fgColor rgb="FFFFFF00"/>
        <bgColor indexed="64"/>
      </patternFill>
    </fill>
    <fill>
      <patternFill patternType="solid">
        <fgColor rgb="FFFFFFFF"/>
        <bgColor indexed="64"/>
      </patternFill>
    </fill>
    <fill>
      <patternFill patternType="solid">
        <fgColor theme="0"/>
        <bgColor indexed="64"/>
      </patternFill>
    </fill>
  </fills>
  <borders count="101">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ck">
        <color indexed="64"/>
      </bottom>
      <diagonal/>
    </border>
    <border>
      <left style="thick">
        <color indexed="64"/>
      </left>
      <right style="thick">
        <color indexed="64"/>
      </right>
      <top style="thick">
        <color indexed="64"/>
      </top>
      <bottom/>
      <diagonal/>
    </border>
    <border>
      <left style="thick">
        <color indexed="64"/>
      </left>
      <right style="thick">
        <color indexed="64"/>
      </right>
      <top/>
      <bottom style="thin">
        <color indexed="64"/>
      </bottom>
      <diagonal/>
    </border>
    <border>
      <left style="thick">
        <color indexed="64"/>
      </left>
      <right style="thick">
        <color indexed="64"/>
      </right>
      <top style="medium">
        <color indexed="64"/>
      </top>
      <bottom style="medium">
        <color indexed="64"/>
      </bottom>
      <diagonal/>
    </border>
    <border>
      <left style="thick">
        <color indexed="64"/>
      </left>
      <right style="thick">
        <color indexed="64"/>
      </right>
      <top style="thin">
        <color rgb="FF000000"/>
      </top>
      <bottom style="thin">
        <color rgb="FF000000"/>
      </bottom>
      <diagonal/>
    </border>
    <border>
      <left style="thick">
        <color indexed="64"/>
      </left>
      <right style="thick">
        <color indexed="64"/>
      </right>
      <top style="thin">
        <color rgb="FF000000"/>
      </top>
      <bottom style="thick">
        <color indexed="64"/>
      </bottom>
      <diagonal/>
    </border>
    <border>
      <left style="thick">
        <color indexed="64"/>
      </left>
      <right style="thick">
        <color indexed="64"/>
      </right>
      <top style="thin">
        <color rgb="FF000000"/>
      </top>
      <bottom/>
      <diagonal/>
    </border>
    <border>
      <left style="thick">
        <color indexed="64"/>
      </left>
      <right style="thick">
        <color indexed="64"/>
      </right>
      <top/>
      <bottom style="thin">
        <color rgb="FF000000"/>
      </bottom>
      <diagonal/>
    </border>
    <border>
      <left style="thick">
        <color indexed="64"/>
      </left>
      <right style="thick">
        <color indexed="64"/>
      </right>
      <top/>
      <bottom style="medium">
        <color indexed="64"/>
      </bottom>
      <diagonal/>
    </border>
    <border>
      <left style="thick">
        <color rgb="FF000000"/>
      </left>
      <right style="thick">
        <color rgb="FF000000"/>
      </right>
      <top style="thick">
        <color rgb="FF000000"/>
      </top>
      <bottom style="thick">
        <color rgb="FF000000"/>
      </bottom>
      <diagonal/>
    </border>
    <border>
      <left style="thin">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style="thin">
        <color rgb="FF000000"/>
      </left>
      <right style="thick">
        <color rgb="FF000000"/>
      </right>
      <top style="thin">
        <color rgb="FF000000"/>
      </top>
      <bottom/>
      <diagonal/>
    </border>
    <border>
      <left style="thick">
        <color rgb="FF000000"/>
      </left>
      <right style="thin">
        <color rgb="FF000000"/>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thin">
        <color rgb="FF000000"/>
      </left>
      <right style="thick">
        <color rgb="FF000000"/>
      </right>
      <top style="thick">
        <color rgb="FF000000"/>
      </top>
      <bottom style="thick">
        <color rgb="FF000000"/>
      </bottom>
      <diagonal/>
    </border>
    <border>
      <left style="thin">
        <color rgb="FF000000"/>
      </left>
      <right style="thick">
        <color rgb="FF000000"/>
      </right>
      <top/>
      <bottom style="thin">
        <color rgb="FF000000"/>
      </bottom>
      <diagonal/>
    </border>
    <border>
      <left/>
      <right style="thin">
        <color rgb="FF000000"/>
      </right>
      <top style="thin">
        <color rgb="FF000000"/>
      </top>
      <bottom/>
      <diagonal/>
    </border>
    <border>
      <left/>
      <right style="thin">
        <color rgb="FF000000"/>
      </right>
      <top style="thick">
        <color rgb="FF000000"/>
      </top>
      <bottom style="thick">
        <color rgb="FF000000"/>
      </bottom>
      <diagonal/>
    </border>
    <border>
      <left/>
      <right style="thin">
        <color rgb="FF000000"/>
      </right>
      <top style="thick">
        <color rgb="FF000000"/>
      </top>
      <bottom style="thin">
        <color rgb="FF000000"/>
      </bottom>
      <diagonal/>
    </border>
    <border>
      <left/>
      <right style="thin">
        <color rgb="FF000000"/>
      </right>
      <top style="thin">
        <color rgb="FF000000"/>
      </top>
      <bottom style="thick">
        <color rgb="FF000000"/>
      </bottom>
      <diagonal/>
    </border>
    <border>
      <left/>
      <right style="thin">
        <color rgb="FF000000"/>
      </right>
      <top/>
      <bottom style="thin">
        <color rgb="FF000000"/>
      </bottom>
      <diagonal/>
    </border>
    <border>
      <left style="thin">
        <color rgb="FF000000"/>
      </left>
      <right style="thin">
        <color rgb="FF000000"/>
      </right>
      <top style="thick">
        <color rgb="FF000000"/>
      </top>
      <bottom/>
      <diagonal/>
    </border>
    <border>
      <left style="thick">
        <color rgb="FF000000"/>
      </left>
      <right style="thick">
        <color rgb="FF000000"/>
      </right>
      <top style="thick">
        <color rgb="FF000000"/>
      </top>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style="thin">
        <color rgb="FF000000"/>
      </top>
      <bottom style="thin">
        <color rgb="FF000000"/>
      </bottom>
      <diagonal/>
    </border>
    <border>
      <left style="thick">
        <color rgb="FF000000"/>
      </left>
      <right style="thick">
        <color rgb="FF000000"/>
      </right>
      <top style="thin">
        <color rgb="FF000000"/>
      </top>
      <bottom style="thick">
        <color rgb="FF000000"/>
      </bottom>
      <diagonal/>
    </border>
    <border>
      <left style="thick">
        <color rgb="FF000000"/>
      </left>
      <right style="thick">
        <color rgb="FF000000"/>
      </right>
      <top/>
      <bottom style="thin">
        <color rgb="FF000000"/>
      </bottom>
      <diagonal/>
    </border>
    <border>
      <left style="thin">
        <color rgb="FF000000"/>
      </left>
      <right style="thick">
        <color rgb="FF000000"/>
      </right>
      <top style="thick">
        <color rgb="FF000000"/>
      </top>
      <bottom/>
      <diagonal/>
    </border>
    <border>
      <left/>
      <right/>
      <top/>
      <bottom style="thick">
        <color rgb="FF000000"/>
      </bottom>
      <diagonal/>
    </border>
    <border>
      <left/>
      <right/>
      <top style="thick">
        <color rgb="FF000000"/>
      </top>
      <bottom style="thick">
        <color rgb="FF000000"/>
      </bottom>
      <diagonal/>
    </border>
    <border>
      <left style="thick">
        <color rgb="FF000000"/>
      </left>
      <right style="thick">
        <color rgb="FF000000"/>
      </right>
      <top/>
      <bottom style="thick">
        <color rgb="FF000000"/>
      </bottom>
      <diagonal/>
    </border>
    <border>
      <left style="thick">
        <color rgb="FF000000"/>
      </left>
      <right style="thin">
        <color rgb="FF000000"/>
      </right>
      <top/>
      <bottom style="thick">
        <color rgb="FF000000"/>
      </bottom>
      <diagonal/>
    </border>
    <border>
      <left style="thin">
        <color rgb="FF000000"/>
      </left>
      <right style="thin">
        <color rgb="FF000000"/>
      </right>
      <top/>
      <bottom style="thick">
        <color rgb="FF000000"/>
      </bottom>
      <diagonal/>
    </border>
    <border>
      <left style="thin">
        <color rgb="FF000000"/>
      </left>
      <right style="thick">
        <color rgb="FF000000"/>
      </right>
      <top/>
      <bottom style="thick">
        <color rgb="FF000000"/>
      </bottom>
      <diagonal/>
    </border>
    <border>
      <left style="thick">
        <color rgb="FF000000"/>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bottom/>
      <diagonal/>
    </border>
    <border>
      <left style="thin">
        <color rgb="FF000000"/>
      </left>
      <right style="thin">
        <color rgb="FF000000"/>
      </right>
      <top/>
      <bottom/>
      <diagonal/>
    </border>
    <border>
      <left style="thin">
        <color rgb="FF000000"/>
      </left>
      <right style="thick">
        <color rgb="FF000000"/>
      </right>
      <top/>
      <bottom/>
      <diagonal/>
    </border>
    <border>
      <left/>
      <right style="thin">
        <color rgb="FF000000"/>
      </right>
      <top/>
      <bottom/>
      <diagonal/>
    </border>
    <border>
      <left style="thick">
        <color rgb="FF000000"/>
      </left>
      <right style="thick">
        <color rgb="FF000000"/>
      </right>
      <top/>
      <bottom style="medium">
        <color rgb="FF000000"/>
      </bottom>
      <diagonal/>
    </border>
    <border>
      <left style="thick">
        <color rgb="FF000000"/>
      </left>
      <right style="thick">
        <color rgb="FF000000"/>
      </right>
      <top style="medium">
        <color rgb="FF000000"/>
      </top>
      <bottom/>
      <diagonal/>
    </border>
    <border>
      <left/>
      <right style="medium">
        <color indexed="64"/>
      </right>
      <top/>
      <bottom style="medium">
        <color indexed="64"/>
      </bottom>
      <diagonal/>
    </border>
    <border>
      <left/>
      <right style="thick">
        <color auto="1"/>
      </right>
      <top/>
      <bottom/>
      <diagonal/>
    </border>
    <border>
      <left/>
      <right style="medium">
        <color indexed="64"/>
      </right>
      <top style="medium">
        <color indexed="64"/>
      </top>
      <bottom style="medium">
        <color indexed="64"/>
      </bottom>
      <diagonal/>
    </border>
    <border>
      <left style="thick">
        <color auto="1"/>
      </left>
      <right style="medium">
        <color indexed="64"/>
      </right>
      <top style="medium">
        <color indexed="64"/>
      </top>
      <bottom style="medium">
        <color indexed="64"/>
      </bottom>
      <diagonal/>
    </border>
    <border>
      <left style="thick">
        <color auto="1"/>
      </left>
      <right style="medium">
        <color indexed="64"/>
      </right>
      <top/>
      <bottom style="medium">
        <color indexed="64"/>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thick">
        <color indexed="64"/>
      </left>
      <right style="thick">
        <color indexed="64"/>
      </right>
      <top style="thick">
        <color indexed="64"/>
      </top>
      <bottom style="medium">
        <color indexed="64"/>
      </bottom>
      <diagonal/>
    </border>
    <border>
      <left style="thick">
        <color indexed="64"/>
      </left>
      <right style="thick">
        <color auto="1"/>
      </right>
      <top style="medium">
        <color indexed="64"/>
      </top>
      <bottom style="thick">
        <color auto="1"/>
      </bottom>
      <diagonal/>
    </border>
    <border>
      <left style="thick">
        <color indexed="64"/>
      </left>
      <right style="medium">
        <color indexed="64"/>
      </right>
      <top style="thick">
        <color auto="1"/>
      </top>
      <bottom style="thick">
        <color auto="1"/>
      </bottom>
      <diagonal/>
    </border>
    <border>
      <left style="medium">
        <color indexed="64"/>
      </left>
      <right style="medium">
        <color indexed="64"/>
      </right>
      <top style="thick">
        <color auto="1"/>
      </top>
      <bottom style="thick">
        <color auto="1"/>
      </bottom>
      <diagonal/>
    </border>
    <border>
      <left style="medium">
        <color indexed="64"/>
      </left>
      <right style="thick">
        <color auto="1"/>
      </right>
      <top style="thick">
        <color auto="1"/>
      </top>
      <bottom style="thick">
        <color auto="1"/>
      </bottom>
      <diagonal/>
    </border>
    <border>
      <left style="thick">
        <color indexed="64"/>
      </left>
      <right style="medium">
        <color indexed="64"/>
      </right>
      <top style="thick">
        <color indexed="64"/>
      </top>
      <bottom style="medium">
        <color indexed="64"/>
      </bottom>
      <diagonal/>
    </border>
    <border>
      <left style="medium">
        <color indexed="64"/>
      </left>
      <right style="medium">
        <color indexed="64"/>
      </right>
      <top style="thick">
        <color indexed="64"/>
      </top>
      <bottom style="medium">
        <color indexed="64"/>
      </bottom>
      <diagonal/>
    </border>
    <border>
      <left style="medium">
        <color indexed="64"/>
      </left>
      <right style="thick">
        <color auto="1"/>
      </right>
      <top style="thick">
        <color indexed="64"/>
      </top>
      <bottom style="medium">
        <color indexed="64"/>
      </bottom>
      <diagonal/>
    </border>
    <border>
      <left style="medium">
        <color indexed="64"/>
      </left>
      <right style="thick">
        <color auto="1"/>
      </right>
      <top style="medium">
        <color indexed="64"/>
      </top>
      <bottom style="medium">
        <color indexed="64"/>
      </bottom>
      <diagonal/>
    </border>
    <border>
      <left style="thick">
        <color indexed="64"/>
      </left>
      <right style="medium">
        <color indexed="64"/>
      </right>
      <top style="medium">
        <color indexed="64"/>
      </top>
      <bottom style="thick">
        <color auto="1"/>
      </bottom>
      <diagonal/>
    </border>
    <border>
      <left style="medium">
        <color indexed="64"/>
      </left>
      <right style="medium">
        <color indexed="64"/>
      </right>
      <top style="medium">
        <color indexed="64"/>
      </top>
      <bottom style="thick">
        <color auto="1"/>
      </bottom>
      <diagonal/>
    </border>
    <border>
      <left style="medium">
        <color indexed="64"/>
      </left>
      <right style="thick">
        <color auto="1"/>
      </right>
      <top style="medium">
        <color indexed="64"/>
      </top>
      <bottom style="thick">
        <color auto="1"/>
      </bottom>
      <diagonal/>
    </border>
    <border>
      <left style="thick">
        <color indexed="64"/>
      </left>
      <right/>
      <top style="thick">
        <color indexed="64"/>
      </top>
      <bottom style="medium">
        <color indexed="64"/>
      </bottom>
      <diagonal/>
    </border>
    <border>
      <left/>
      <right/>
      <top style="thick">
        <color indexed="64"/>
      </top>
      <bottom style="medium">
        <color indexed="64"/>
      </bottom>
      <diagonal/>
    </border>
    <border>
      <left/>
      <right style="thick">
        <color auto="1"/>
      </right>
      <top style="thick">
        <color indexed="64"/>
      </top>
      <bottom style="medium">
        <color indexed="64"/>
      </bottom>
      <diagonal/>
    </border>
    <border>
      <left style="thick">
        <color auto="1"/>
      </left>
      <right/>
      <top style="medium">
        <color indexed="64"/>
      </top>
      <bottom style="medium">
        <color indexed="64"/>
      </bottom>
      <diagonal/>
    </border>
    <border>
      <left style="thick">
        <color auto="1"/>
      </left>
      <right style="medium">
        <color indexed="64"/>
      </right>
      <top style="medium">
        <color indexed="64"/>
      </top>
      <bottom/>
      <diagonal/>
    </border>
    <border>
      <left style="medium">
        <color indexed="64"/>
      </left>
      <right style="medium">
        <color indexed="64"/>
      </right>
      <top style="medium">
        <color indexed="64"/>
      </top>
      <bottom/>
      <diagonal/>
    </border>
    <border>
      <left/>
      <right style="thick">
        <color auto="1"/>
      </right>
      <top style="medium">
        <color indexed="64"/>
      </top>
      <bottom style="medium">
        <color indexed="64"/>
      </bottom>
      <diagonal/>
    </border>
    <border>
      <left style="thick">
        <color auto="1"/>
      </left>
      <right/>
      <top style="medium">
        <color indexed="64"/>
      </top>
      <bottom style="thick">
        <color auto="1"/>
      </bottom>
      <diagonal/>
    </border>
    <border>
      <left/>
      <right style="thick">
        <color auto="1"/>
      </right>
      <top style="medium">
        <color indexed="64"/>
      </top>
      <bottom style="thick">
        <color auto="1"/>
      </bottom>
      <diagonal/>
    </border>
    <border>
      <left/>
      <right style="medium">
        <color indexed="64"/>
      </right>
      <top style="medium">
        <color indexed="64"/>
      </top>
      <bottom style="thick">
        <color auto="1"/>
      </bottom>
      <diagonal/>
    </border>
    <border>
      <left style="thick">
        <color indexed="64"/>
      </left>
      <right style="medium">
        <color indexed="64"/>
      </right>
      <top style="thick">
        <color indexed="64"/>
      </top>
      <bottom/>
      <diagonal/>
    </border>
    <border>
      <left style="medium">
        <color indexed="64"/>
      </left>
      <right style="medium">
        <color indexed="64"/>
      </right>
      <top style="thick">
        <color indexed="64"/>
      </top>
      <bottom/>
      <diagonal/>
    </border>
    <border>
      <left style="medium">
        <color indexed="64"/>
      </left>
      <right style="thick">
        <color auto="1"/>
      </right>
      <top style="thick">
        <color indexed="64"/>
      </top>
      <bottom/>
      <diagonal/>
    </border>
    <border>
      <left style="medium">
        <color indexed="64"/>
      </left>
      <right style="thick">
        <color auto="1"/>
      </right>
      <top/>
      <bottom style="medium">
        <color indexed="64"/>
      </bottom>
      <diagonal/>
    </border>
    <border>
      <left/>
      <right style="medium">
        <color indexed="64"/>
      </right>
      <top style="thick">
        <color auto="1"/>
      </top>
      <bottom style="thick">
        <color auto="1"/>
      </bottom>
      <diagonal/>
    </border>
    <border>
      <left style="thick">
        <color indexed="64"/>
      </left>
      <right style="thick">
        <color indexed="64"/>
      </right>
      <top/>
      <bottom style="thick">
        <color indexed="64"/>
      </bottom>
      <diagonal/>
    </border>
    <border>
      <left style="thick">
        <color rgb="FF000000"/>
      </left>
      <right style="thick">
        <color rgb="FF000000"/>
      </right>
      <top style="thick">
        <color rgb="FF000000"/>
      </top>
      <bottom style="medium">
        <color rgb="FF000000"/>
      </bottom>
      <diagonal/>
    </border>
    <border>
      <left style="thick">
        <color rgb="FF000000"/>
      </left>
      <right style="thick">
        <color rgb="FF000000"/>
      </right>
      <top style="medium">
        <color rgb="FF000000"/>
      </top>
      <bottom style="medium">
        <color rgb="FF000000"/>
      </bottom>
      <diagonal/>
    </border>
    <border>
      <left style="thick">
        <color rgb="FF000000"/>
      </left>
      <right style="thick">
        <color rgb="FF000000"/>
      </right>
      <top style="medium">
        <color rgb="FF000000"/>
      </top>
      <bottom style="thick">
        <color rgb="FF000000"/>
      </bottom>
      <diagonal/>
    </border>
    <border>
      <left/>
      <right style="thin">
        <color rgb="FF000000"/>
      </right>
      <top style="thick">
        <color rgb="FF000000"/>
      </top>
      <bottom/>
      <diagonal/>
    </border>
    <border>
      <left style="thick">
        <color rgb="FF000000"/>
      </left>
      <right style="thin">
        <color rgb="FF000000"/>
      </right>
      <top style="thick">
        <color rgb="FF000000"/>
      </top>
      <bottom style="medium">
        <color rgb="FF000000"/>
      </bottom>
      <diagonal/>
    </border>
    <border>
      <left style="thin">
        <color rgb="FF000000"/>
      </left>
      <right style="thin">
        <color rgb="FF000000"/>
      </right>
      <top style="thick">
        <color rgb="FF000000"/>
      </top>
      <bottom style="medium">
        <color rgb="FF000000"/>
      </bottom>
      <diagonal/>
    </border>
    <border>
      <left style="thin">
        <color rgb="FF000000"/>
      </left>
      <right style="thick">
        <color rgb="FF000000"/>
      </right>
      <top style="thick">
        <color rgb="FF000000"/>
      </top>
      <bottom style="medium">
        <color rgb="FF000000"/>
      </bottom>
      <diagonal/>
    </border>
    <border>
      <left style="thick">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thick">
        <color rgb="FF000000"/>
      </right>
      <top style="medium">
        <color rgb="FF000000"/>
      </top>
      <bottom style="medium">
        <color rgb="FF000000"/>
      </bottom>
      <diagonal/>
    </border>
    <border>
      <left style="thick">
        <color rgb="FF000000"/>
      </left>
      <right style="thin">
        <color rgb="FF000000"/>
      </right>
      <top style="medium">
        <color rgb="FF000000"/>
      </top>
      <bottom style="thick">
        <color rgb="FF000000"/>
      </bottom>
      <diagonal/>
    </border>
    <border>
      <left style="thin">
        <color rgb="FF000000"/>
      </left>
      <right style="thin">
        <color rgb="FF000000"/>
      </right>
      <top style="medium">
        <color rgb="FF000000"/>
      </top>
      <bottom style="thick">
        <color rgb="FF000000"/>
      </bottom>
      <diagonal/>
    </border>
    <border>
      <left style="thin">
        <color rgb="FF000000"/>
      </left>
      <right style="thick">
        <color rgb="FF000000"/>
      </right>
      <top style="medium">
        <color rgb="FF000000"/>
      </top>
      <bottom style="thick">
        <color rgb="FF000000"/>
      </bottom>
      <diagonal/>
    </border>
  </borders>
  <cellStyleXfs count="3">
    <xf numFmtId="0" fontId="0" fillId="0" borderId="0"/>
    <xf numFmtId="0" fontId="4" fillId="0" borderId="0"/>
    <xf numFmtId="0" fontId="1" fillId="0" borderId="0"/>
  </cellStyleXfs>
  <cellXfs count="236">
    <xf numFmtId="0" fontId="0" fillId="0" borderId="0" xfId="0" applyFont="1" applyAlignment="1"/>
    <xf numFmtId="0" fontId="4" fillId="0" borderId="0" xfId="1"/>
    <xf numFmtId="0" fontId="10" fillId="0" borderId="6" xfId="1" applyFont="1" applyBorder="1" applyAlignment="1">
      <alignment horizontal="center" vertical="center"/>
    </xf>
    <xf numFmtId="1" fontId="10" fillId="0" borderId="6" xfId="1" applyNumberFormat="1" applyFont="1" applyBorder="1" applyAlignment="1">
      <alignment horizontal="center" vertical="center"/>
    </xf>
    <xf numFmtId="0" fontId="10" fillId="0" borderId="7" xfId="1" applyFont="1" applyBorder="1" applyAlignment="1">
      <alignment horizontal="center" vertical="center"/>
    </xf>
    <xf numFmtId="1" fontId="10" fillId="0" borderId="7" xfId="1" applyNumberFormat="1" applyFont="1" applyBorder="1" applyAlignment="1">
      <alignment horizontal="center" vertical="center"/>
    </xf>
    <xf numFmtId="0" fontId="10" fillId="0" borderId="9" xfId="1" applyFont="1" applyBorder="1" applyAlignment="1">
      <alignment horizontal="center" vertical="center"/>
    </xf>
    <xf numFmtId="1" fontId="10" fillId="0" borderId="9" xfId="1" applyNumberFormat="1" applyFont="1" applyBorder="1" applyAlignment="1">
      <alignment horizontal="center" vertical="center"/>
    </xf>
    <xf numFmtId="0" fontId="10" fillId="0" borderId="5" xfId="1" applyFont="1" applyBorder="1" applyAlignment="1">
      <alignment horizontal="center" vertical="center" wrapText="1"/>
    </xf>
    <xf numFmtId="0" fontId="10" fillId="0" borderId="5" xfId="1" applyFont="1" applyBorder="1" applyAlignment="1">
      <alignment horizontal="center" vertical="center"/>
    </xf>
    <xf numFmtId="0" fontId="11" fillId="4" borderId="10" xfId="0" applyFont="1" applyFill="1" applyBorder="1" applyAlignment="1" applyProtection="1">
      <alignment horizontal="center" vertical="center" wrapText="1"/>
      <protection locked="0"/>
    </xf>
    <xf numFmtId="0" fontId="11" fillId="4" borderId="10" xfId="0" applyFont="1" applyFill="1" applyBorder="1" applyAlignment="1" applyProtection="1">
      <alignment vertical="center" wrapText="1"/>
      <protection locked="0"/>
    </xf>
    <xf numFmtId="0" fontId="11" fillId="5" borderId="10" xfId="0" applyFont="1" applyFill="1" applyBorder="1" applyAlignment="1" applyProtection="1">
      <alignment horizontal="center" vertical="center" wrapText="1"/>
      <protection locked="0"/>
    </xf>
    <xf numFmtId="0" fontId="11" fillId="5" borderId="10" xfId="0" applyFont="1" applyFill="1" applyBorder="1" applyAlignment="1" applyProtection="1">
      <alignment horizontal="left" vertical="center" wrapText="1"/>
      <protection locked="0"/>
    </xf>
    <xf numFmtId="1" fontId="12" fillId="0" borderId="10" xfId="0" applyNumberFormat="1" applyFont="1" applyBorder="1" applyAlignment="1">
      <alignment horizontal="center" vertical="center"/>
    </xf>
    <xf numFmtId="0" fontId="9" fillId="0" borderId="10" xfId="0" applyFont="1" applyBorder="1" applyAlignment="1">
      <alignment vertical="center"/>
    </xf>
    <xf numFmtId="0" fontId="9" fillId="0" borderId="11" xfId="0" applyFont="1" applyBorder="1" applyAlignment="1">
      <alignment horizontal="center" vertical="center"/>
    </xf>
    <xf numFmtId="0" fontId="9" fillId="0" borderId="11" xfId="0" applyFont="1" applyBorder="1"/>
    <xf numFmtId="0" fontId="9" fillId="0" borderId="12" xfId="0" applyFont="1" applyBorder="1" applyAlignment="1">
      <alignment horizontal="center" vertical="center"/>
    </xf>
    <xf numFmtId="0" fontId="9" fillId="0" borderId="12" xfId="0" applyFont="1" applyBorder="1"/>
    <xf numFmtId="0" fontId="9" fillId="0" borderId="14" xfId="0" applyFont="1" applyBorder="1" applyAlignment="1">
      <alignment horizontal="center" vertical="center"/>
    </xf>
    <xf numFmtId="0" fontId="11" fillId="4" borderId="15" xfId="0" applyFont="1" applyFill="1" applyBorder="1" applyAlignment="1" applyProtection="1">
      <alignment horizontal="center" vertical="center" wrapText="1"/>
      <protection locked="0"/>
    </xf>
    <xf numFmtId="0" fontId="11" fillId="4" borderId="15" xfId="0" applyFont="1" applyFill="1" applyBorder="1" applyAlignment="1" applyProtection="1">
      <alignment vertical="center" wrapText="1"/>
      <protection locked="0"/>
    </xf>
    <xf numFmtId="0" fontId="9" fillId="0" borderId="5" xfId="0" applyFont="1" applyBorder="1" applyAlignment="1">
      <alignment horizontal="center" vertical="center" wrapText="1"/>
    </xf>
    <xf numFmtId="0" fontId="9" fillId="0" borderId="5" xfId="0" applyFont="1" applyBorder="1" applyAlignment="1">
      <alignment horizontal="center" vertical="center"/>
    </xf>
    <xf numFmtId="0" fontId="9" fillId="0" borderId="2" xfId="0" applyFont="1" applyBorder="1" applyAlignment="1">
      <alignment horizontal="center" vertical="center"/>
    </xf>
    <xf numFmtId="0" fontId="9" fillId="0" borderId="21" xfId="0" applyFont="1" applyBorder="1" applyAlignment="1">
      <alignment horizontal="center" vertical="center"/>
    </xf>
    <xf numFmtId="0" fontId="9" fillId="2" borderId="23" xfId="0" applyFont="1" applyFill="1" applyBorder="1" applyAlignment="1">
      <alignment horizontal="center" vertical="center"/>
    </xf>
    <xf numFmtId="0" fontId="9" fillId="2" borderId="24" xfId="0" applyFont="1" applyFill="1" applyBorder="1" applyAlignment="1">
      <alignment horizontal="center" vertical="center"/>
    </xf>
    <xf numFmtId="0" fontId="9" fillId="0" borderId="23" xfId="0" applyFont="1" applyBorder="1" applyAlignment="1">
      <alignment horizontal="center" vertical="center"/>
    </xf>
    <xf numFmtId="0" fontId="9" fillId="0" borderId="24" xfId="0" applyFont="1" applyBorder="1" applyAlignment="1">
      <alignment horizontal="center" vertical="center"/>
    </xf>
    <xf numFmtId="0" fontId="9" fillId="0" borderId="1" xfId="0" applyFont="1" applyBorder="1" applyAlignment="1">
      <alignment horizontal="center" vertical="center"/>
    </xf>
    <xf numFmtId="0" fontId="9" fillId="0" borderId="25"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xf numFmtId="0" fontId="9" fillId="0" borderId="19" xfId="0" applyFont="1" applyBorder="1" applyAlignment="1">
      <alignment horizontal="center" vertical="center"/>
    </xf>
    <xf numFmtId="0" fontId="9" fillId="0" borderId="20" xfId="0" applyFont="1" applyBorder="1" applyAlignment="1">
      <alignment horizontal="center" vertical="center"/>
    </xf>
    <xf numFmtId="0" fontId="9" fillId="0" borderId="27" xfId="0" applyFont="1" applyBorder="1" applyAlignment="1">
      <alignment horizontal="center" vertical="center"/>
    </xf>
    <xf numFmtId="0" fontId="9" fillId="0" borderId="28" xfId="0" applyFont="1" applyBorder="1" applyAlignment="1">
      <alignment horizontal="center" vertical="center"/>
    </xf>
    <xf numFmtId="0" fontId="9" fillId="0" borderId="29" xfId="0" applyFont="1" applyBorder="1" applyAlignment="1">
      <alignment horizontal="center" vertical="center"/>
    </xf>
    <xf numFmtId="0" fontId="9" fillId="0" borderId="30" xfId="0" applyFont="1" applyBorder="1" applyAlignment="1">
      <alignment horizontal="center" vertical="center"/>
    </xf>
    <xf numFmtId="0" fontId="9" fillId="0" borderId="26" xfId="0" applyFont="1" applyBorder="1" applyAlignment="1">
      <alignment horizontal="center" vertical="center"/>
    </xf>
    <xf numFmtId="0" fontId="9" fillId="2" borderId="27" xfId="0" applyFont="1" applyFill="1" applyBorder="1" applyAlignment="1">
      <alignment horizontal="center" vertical="center"/>
    </xf>
    <xf numFmtId="0" fontId="9" fillId="0" borderId="16" xfId="0" applyFont="1" applyBorder="1" applyAlignment="1">
      <alignment horizontal="center" vertical="center" wrapText="1"/>
    </xf>
    <xf numFmtId="0" fontId="9" fillId="2" borderId="41" xfId="0" applyFont="1" applyFill="1" applyBorder="1" applyAlignment="1">
      <alignment horizontal="center" vertical="center"/>
    </xf>
    <xf numFmtId="0" fontId="9" fillId="2" borderId="42" xfId="0" applyFont="1" applyFill="1" applyBorder="1" applyAlignment="1">
      <alignment horizontal="center" vertical="center"/>
    </xf>
    <xf numFmtId="0" fontId="9" fillId="2" borderId="43" xfId="0" applyFont="1" applyFill="1" applyBorder="1" applyAlignment="1">
      <alignment horizontal="center" vertical="center"/>
    </xf>
    <xf numFmtId="0" fontId="15" fillId="0" borderId="16" xfId="0" applyFont="1" applyBorder="1" applyAlignment="1">
      <alignment horizontal="center" vertical="center" wrapText="1"/>
    </xf>
    <xf numFmtId="0" fontId="9" fillId="0" borderId="22" xfId="0" applyFont="1" applyBorder="1" applyAlignment="1">
      <alignment horizontal="center" vertical="center"/>
    </xf>
    <xf numFmtId="0" fontId="10" fillId="0" borderId="0" xfId="0" applyFont="1" applyBorder="1" applyAlignment="1">
      <alignment vertical="center"/>
    </xf>
    <xf numFmtId="0" fontId="9" fillId="2" borderId="22" xfId="0" applyFont="1" applyFill="1" applyBorder="1" applyAlignment="1">
      <alignment horizontal="center" vertical="center"/>
    </xf>
    <xf numFmtId="0" fontId="16" fillId="0" borderId="0" xfId="0" applyFont="1" applyBorder="1" applyAlignment="1">
      <alignment vertical="center"/>
    </xf>
    <xf numFmtId="0" fontId="9" fillId="0" borderId="49" xfId="0" applyFont="1" applyBorder="1" applyAlignment="1">
      <alignment horizontal="center" vertical="center"/>
    </xf>
    <xf numFmtId="0" fontId="9" fillId="0" borderId="47" xfId="0" applyFont="1" applyBorder="1" applyAlignment="1">
      <alignment horizontal="center" vertical="center"/>
    </xf>
    <xf numFmtId="0" fontId="9" fillId="0" borderId="48" xfId="0" applyFont="1" applyBorder="1" applyAlignment="1">
      <alignment horizontal="center" vertical="center"/>
    </xf>
    <xf numFmtId="0" fontId="0" fillId="0" borderId="0" xfId="0" applyFont="1" applyAlignment="1">
      <alignment horizontal="center" vertical="center"/>
    </xf>
    <xf numFmtId="0" fontId="9" fillId="0" borderId="36" xfId="0" applyFont="1" applyBorder="1" applyAlignment="1">
      <alignment horizontal="center" vertical="center"/>
    </xf>
    <xf numFmtId="0" fontId="9" fillId="0" borderId="36" xfId="0" applyFont="1" applyBorder="1"/>
    <xf numFmtId="1" fontId="9" fillId="0" borderId="36" xfId="0" applyNumberFormat="1" applyFont="1" applyBorder="1" applyAlignment="1">
      <alignment horizontal="center" vertical="center"/>
    </xf>
    <xf numFmtId="0" fontId="9" fillId="0" borderId="34" xfId="0" applyFont="1" applyBorder="1" applyAlignment="1">
      <alignment horizontal="center" vertical="center"/>
    </xf>
    <xf numFmtId="0" fontId="9" fillId="0" borderId="34" xfId="0" applyFont="1" applyBorder="1"/>
    <xf numFmtId="0" fontId="9" fillId="0" borderId="35" xfId="0" applyFont="1" applyBorder="1" applyAlignment="1">
      <alignment horizontal="center" vertical="center"/>
    </xf>
    <xf numFmtId="0" fontId="9" fillId="0" borderId="34" xfId="0" applyFont="1" applyBorder="1" applyAlignment="1">
      <alignment horizontal="left"/>
    </xf>
    <xf numFmtId="0" fontId="9" fillId="0" borderId="35" xfId="0" applyFont="1" applyBorder="1" applyAlignment="1">
      <alignment horizontal="left"/>
    </xf>
    <xf numFmtId="0" fontId="4" fillId="0" borderId="0" xfId="1" applyBorder="1"/>
    <xf numFmtId="0" fontId="4" fillId="0" borderId="53" xfId="1" applyBorder="1"/>
    <xf numFmtId="0" fontId="6" fillId="0" borderId="53" xfId="1" applyFont="1" applyBorder="1" applyAlignment="1">
      <alignment vertical="center" wrapText="1"/>
    </xf>
    <xf numFmtId="0" fontId="8" fillId="0" borderId="53" xfId="1" applyFont="1" applyBorder="1" applyAlignment="1">
      <alignment horizontal="center" vertical="center"/>
    </xf>
    <xf numFmtId="0" fontId="14" fillId="5" borderId="53" xfId="1" applyFont="1" applyFill="1" applyBorder="1" applyAlignment="1">
      <alignment vertical="center"/>
    </xf>
    <xf numFmtId="0" fontId="13" fillId="0" borderId="5" xfId="1" applyFont="1" applyBorder="1" applyAlignment="1">
      <alignment horizontal="center" vertical="center"/>
    </xf>
    <xf numFmtId="0" fontId="14" fillId="3" borderId="5" xfId="1" applyFont="1" applyFill="1" applyBorder="1" applyAlignment="1">
      <alignment horizontal="center" vertical="center"/>
    </xf>
    <xf numFmtId="0" fontId="8" fillId="0" borderId="60" xfId="1" applyFont="1" applyBorder="1" applyAlignment="1">
      <alignment vertical="center" wrapText="1"/>
    </xf>
    <xf numFmtId="0" fontId="8" fillId="0" borderId="10" xfId="1" applyFont="1" applyBorder="1" applyAlignment="1">
      <alignment vertical="center" wrapText="1"/>
    </xf>
    <xf numFmtId="0" fontId="8" fillId="0" borderId="61" xfId="1" applyFont="1" applyBorder="1" applyAlignment="1">
      <alignment vertical="center" wrapText="1"/>
    </xf>
    <xf numFmtId="0" fontId="8" fillId="0" borderId="62" xfId="1" applyFont="1" applyBorder="1" applyAlignment="1">
      <alignment textRotation="90"/>
    </xf>
    <xf numFmtId="0" fontId="9" fillId="0" borderId="65" xfId="1" applyFont="1" applyBorder="1" applyAlignment="1">
      <alignment horizontal="center" vertical="center"/>
    </xf>
    <xf numFmtId="0" fontId="9" fillId="0" borderId="66" xfId="1" applyFont="1" applyBorder="1" applyAlignment="1">
      <alignment horizontal="center" vertical="center"/>
    </xf>
    <xf numFmtId="0" fontId="9" fillId="0" borderId="67" xfId="1" applyFont="1" applyBorder="1" applyAlignment="1">
      <alignment horizontal="center" vertical="center"/>
    </xf>
    <xf numFmtId="0" fontId="9" fillId="0" borderId="55" xfId="1" applyFont="1" applyBorder="1" applyAlignment="1">
      <alignment horizontal="center" vertical="center"/>
    </xf>
    <xf numFmtId="0" fontId="9" fillId="0" borderId="3" xfId="1" applyFont="1" applyBorder="1" applyAlignment="1">
      <alignment horizontal="center" vertical="center"/>
    </xf>
    <xf numFmtId="0" fontId="9" fillId="0" borderId="68" xfId="1" applyFont="1" applyBorder="1" applyAlignment="1">
      <alignment horizontal="center" vertical="center"/>
    </xf>
    <xf numFmtId="0" fontId="9" fillId="0" borderId="69" xfId="1" applyFont="1" applyBorder="1" applyAlignment="1">
      <alignment horizontal="center" vertical="center"/>
    </xf>
    <xf numFmtId="0" fontId="9" fillId="0" borderId="70" xfId="1" applyFont="1" applyBorder="1" applyAlignment="1">
      <alignment horizontal="center" vertical="center"/>
    </xf>
    <xf numFmtId="0" fontId="9" fillId="0" borderId="71" xfId="1" applyFont="1" applyBorder="1" applyAlignment="1">
      <alignment horizontal="center" vertical="center"/>
    </xf>
    <xf numFmtId="0" fontId="9" fillId="3" borderId="62" xfId="1" applyFont="1" applyFill="1" applyBorder="1" applyAlignment="1">
      <alignment horizontal="center" vertical="center"/>
    </xf>
    <xf numFmtId="0" fontId="9" fillId="3" borderId="63" xfId="1" applyFont="1" applyFill="1" applyBorder="1" applyAlignment="1">
      <alignment horizontal="center" vertical="center"/>
    </xf>
    <xf numFmtId="0" fontId="9" fillId="3" borderId="64" xfId="1" applyFont="1" applyFill="1" applyBorder="1" applyAlignment="1">
      <alignment horizontal="center" vertical="center"/>
    </xf>
    <xf numFmtId="0" fontId="8" fillId="0" borderId="54" xfId="1" applyFont="1" applyBorder="1" applyAlignment="1">
      <alignment horizontal="center" textRotation="90"/>
    </xf>
    <xf numFmtId="0" fontId="9" fillId="0" borderId="54" xfId="1" applyFont="1" applyBorder="1" applyAlignment="1">
      <alignment horizontal="center" vertical="center"/>
    </xf>
    <xf numFmtId="0" fontId="9" fillId="3" borderId="81" xfId="1" applyFont="1" applyFill="1" applyBorder="1" applyAlignment="1">
      <alignment horizontal="center" vertical="center"/>
    </xf>
    <xf numFmtId="0" fontId="9" fillId="3" borderId="70" xfId="1" applyFont="1" applyFill="1" applyBorder="1" applyAlignment="1">
      <alignment horizontal="center" vertical="center"/>
    </xf>
    <xf numFmtId="0" fontId="9" fillId="3" borderId="71" xfId="1" applyFont="1" applyFill="1" applyBorder="1" applyAlignment="1">
      <alignment horizontal="center" vertical="center"/>
    </xf>
    <xf numFmtId="0" fontId="8" fillId="0" borderId="86" xfId="1" applyFont="1" applyBorder="1" applyAlignment="1">
      <alignment textRotation="90"/>
    </xf>
    <xf numFmtId="0" fontId="9" fillId="0" borderId="52" xfId="1" applyFont="1" applyBorder="1" applyAlignment="1">
      <alignment horizontal="center" vertical="center"/>
    </xf>
    <xf numFmtId="0" fontId="9" fillId="0" borderId="4" xfId="1" applyFont="1" applyBorder="1" applyAlignment="1">
      <alignment horizontal="center" vertical="center"/>
    </xf>
    <xf numFmtId="0" fontId="9" fillId="0" borderId="85" xfId="1" applyFont="1" applyBorder="1" applyAlignment="1">
      <alignment horizontal="center" vertical="center"/>
    </xf>
    <xf numFmtId="0" fontId="9" fillId="3" borderId="86" xfId="1" applyFont="1" applyFill="1" applyBorder="1" applyAlignment="1">
      <alignment horizontal="center" vertical="center"/>
    </xf>
    <xf numFmtId="0" fontId="10" fillId="0" borderId="9" xfId="1" applyFont="1" applyBorder="1" applyAlignment="1">
      <alignment horizontal="left" vertical="center"/>
    </xf>
    <xf numFmtId="0" fontId="10" fillId="0" borderId="6" xfId="1" applyFont="1" applyBorder="1" applyAlignment="1">
      <alignment horizontal="left" vertical="center"/>
    </xf>
    <xf numFmtId="0" fontId="10" fillId="0" borderId="7" xfId="1" applyFont="1" applyBorder="1" applyAlignment="1">
      <alignment horizontal="left" vertical="center"/>
    </xf>
    <xf numFmtId="0" fontId="10" fillId="0" borderId="87" xfId="1" applyFont="1" applyBorder="1" applyAlignment="1">
      <alignment horizontal="center" vertical="center" wrapText="1"/>
    </xf>
    <xf numFmtId="0" fontId="10" fillId="0" borderId="87" xfId="1" applyFont="1" applyBorder="1" applyAlignment="1">
      <alignment horizontal="center" vertical="center"/>
    </xf>
    <xf numFmtId="0" fontId="9" fillId="0" borderId="5" xfId="1" applyFont="1" applyBorder="1" applyAlignment="1">
      <alignment horizontal="center" vertical="center" wrapText="1"/>
    </xf>
    <xf numFmtId="0" fontId="9" fillId="0" borderId="6" xfId="1" applyFont="1" applyBorder="1" applyAlignment="1">
      <alignment horizontal="center" vertical="center"/>
    </xf>
    <xf numFmtId="0" fontId="9" fillId="0" borderId="7" xfId="1" applyFont="1" applyBorder="1" applyAlignment="1">
      <alignment horizontal="center" vertical="center"/>
    </xf>
    <xf numFmtId="0" fontId="9" fillId="0" borderId="6" xfId="1" applyFont="1" applyBorder="1" applyAlignment="1">
      <alignment horizontal="left" vertical="center"/>
    </xf>
    <xf numFmtId="0" fontId="9" fillId="0" borderId="7" xfId="1" applyFont="1" applyBorder="1" applyAlignment="1">
      <alignment horizontal="left" vertical="center"/>
    </xf>
    <xf numFmtId="0" fontId="19" fillId="0" borderId="0" xfId="1" applyFont="1"/>
    <xf numFmtId="1" fontId="9" fillId="0" borderId="9" xfId="1" applyNumberFormat="1" applyFont="1" applyBorder="1" applyAlignment="1">
      <alignment horizontal="center" vertical="center"/>
    </xf>
    <xf numFmtId="1" fontId="9" fillId="0" borderId="6" xfId="1" applyNumberFormat="1" applyFont="1" applyBorder="1" applyAlignment="1">
      <alignment horizontal="center" vertical="center"/>
    </xf>
    <xf numFmtId="1" fontId="9" fillId="0" borderId="7" xfId="1" applyNumberFormat="1" applyFont="1" applyBorder="1" applyAlignment="1">
      <alignment horizontal="center" vertical="center"/>
    </xf>
    <xf numFmtId="1" fontId="14" fillId="0" borderId="9" xfId="1" applyNumberFormat="1" applyFont="1" applyBorder="1" applyAlignment="1">
      <alignment horizontal="center" vertical="center"/>
    </xf>
    <xf numFmtId="1" fontId="14" fillId="0" borderId="6" xfId="1" applyNumberFormat="1" applyFont="1" applyBorder="1" applyAlignment="1">
      <alignment horizontal="center" vertical="center"/>
    </xf>
    <xf numFmtId="1" fontId="14" fillId="0" borderId="7" xfId="1" applyNumberFormat="1" applyFont="1" applyBorder="1" applyAlignment="1">
      <alignment horizontal="center" vertical="center"/>
    </xf>
    <xf numFmtId="0" fontId="18" fillId="0" borderId="5" xfId="1" applyFont="1" applyBorder="1" applyAlignment="1">
      <alignment horizontal="center" vertical="center" wrapText="1"/>
    </xf>
    <xf numFmtId="0" fontId="14" fillId="0" borderId="16" xfId="0" applyFont="1" applyBorder="1" applyAlignment="1">
      <alignment horizontal="center" vertical="center" wrapText="1"/>
    </xf>
    <xf numFmtId="1" fontId="14" fillId="0" borderId="36" xfId="0" applyNumberFormat="1" applyFont="1" applyBorder="1" applyAlignment="1">
      <alignment horizontal="center" vertical="center"/>
    </xf>
    <xf numFmtId="0" fontId="9" fillId="0" borderId="16" xfId="0" applyFont="1" applyBorder="1" applyAlignment="1">
      <alignment horizontal="center" vertical="center" wrapText="1"/>
    </xf>
    <xf numFmtId="0" fontId="9" fillId="0" borderId="16" xfId="0" applyFont="1" applyBorder="1" applyAlignment="1">
      <alignment horizontal="center" vertical="center" wrapText="1"/>
    </xf>
    <xf numFmtId="0" fontId="18" fillId="0" borderId="0" xfId="0" applyFont="1" applyAlignment="1"/>
    <xf numFmtId="0" fontId="19" fillId="0" borderId="0" xfId="0" applyFont="1" applyAlignment="1"/>
    <xf numFmtId="0" fontId="9" fillId="0" borderId="41" xfId="0" applyFont="1" applyBorder="1" applyAlignment="1">
      <alignment horizontal="center" textRotation="90"/>
    </xf>
    <xf numFmtId="0" fontId="22" fillId="0" borderId="50" xfId="0" applyFont="1" applyBorder="1" applyAlignment="1">
      <alignment horizontal="center" vertical="center"/>
    </xf>
    <xf numFmtId="0" fontId="21" fillId="0" borderId="50" xfId="0" applyFont="1" applyBorder="1" applyAlignment="1">
      <alignment horizontal="center" vertical="center" wrapText="1"/>
    </xf>
    <xf numFmtId="0" fontId="22" fillId="0" borderId="16" xfId="0" applyFont="1" applyBorder="1" applyAlignment="1">
      <alignment horizontal="center" vertical="center"/>
    </xf>
    <xf numFmtId="0" fontId="23" fillId="5" borderId="16" xfId="0" applyFont="1" applyFill="1" applyBorder="1" applyAlignment="1">
      <alignment horizontal="center" vertical="center" wrapText="1"/>
    </xf>
    <xf numFmtId="0" fontId="8" fillId="0" borderId="16" xfId="0" applyFont="1" applyBorder="1" applyAlignment="1">
      <alignment horizontal="center" vertical="center" wrapText="1"/>
    </xf>
    <xf numFmtId="0" fontId="22" fillId="0" borderId="51" xfId="0" applyFont="1" applyBorder="1" applyAlignment="1">
      <alignment horizontal="center" vertical="center" wrapText="1"/>
    </xf>
    <xf numFmtId="0" fontId="9" fillId="0" borderId="91" xfId="0" applyFont="1" applyBorder="1" applyAlignment="1">
      <alignment horizontal="center" vertical="center"/>
    </xf>
    <xf numFmtId="0" fontId="9" fillId="0" borderId="31" xfId="0" applyFont="1" applyBorder="1" applyAlignment="1">
      <alignment horizontal="center" vertical="center"/>
    </xf>
    <xf numFmtId="0" fontId="9" fillId="0" borderId="37" xfId="0" applyFont="1" applyBorder="1" applyAlignment="1">
      <alignment horizontal="center" vertical="center"/>
    </xf>
    <xf numFmtId="0" fontId="9" fillId="0" borderId="90" xfId="0" applyFont="1" applyBorder="1" applyAlignment="1">
      <alignment horizontal="center" vertical="center" wrapText="1"/>
    </xf>
    <xf numFmtId="0" fontId="11" fillId="0" borderId="90" xfId="0" applyFont="1" applyBorder="1" applyAlignment="1">
      <alignment horizontal="center" vertical="center" wrapText="1"/>
    </xf>
    <xf numFmtId="0" fontId="9" fillId="0" borderId="51" xfId="0" applyFont="1" applyBorder="1" applyAlignment="1">
      <alignment horizontal="center" vertical="center" wrapText="1"/>
    </xf>
    <xf numFmtId="0" fontId="9" fillId="0" borderId="88" xfId="0" applyFont="1" applyBorder="1" applyAlignment="1">
      <alignment horizontal="center" vertical="center" wrapText="1"/>
    </xf>
    <xf numFmtId="0" fontId="11" fillId="0" borderId="16" xfId="0" applyFont="1" applyBorder="1" applyAlignment="1">
      <alignment horizontal="center" vertical="center" wrapText="1"/>
    </xf>
    <xf numFmtId="0" fontId="24" fillId="0" borderId="16" xfId="0" applyFont="1" applyBorder="1" applyAlignment="1">
      <alignment horizontal="center" vertical="center" wrapText="1"/>
    </xf>
    <xf numFmtId="0" fontId="9" fillId="0" borderId="92" xfId="0" applyFont="1" applyBorder="1" applyAlignment="1">
      <alignment horizontal="center" vertical="center"/>
    </xf>
    <xf numFmtId="0" fontId="9" fillId="0" borderId="93" xfId="0" applyFont="1" applyBorder="1" applyAlignment="1">
      <alignment horizontal="center" vertical="center"/>
    </xf>
    <xf numFmtId="0" fontId="9" fillId="0" borderId="94" xfId="0" applyFont="1" applyBorder="1" applyAlignment="1">
      <alignment horizontal="center" vertical="center"/>
    </xf>
    <xf numFmtId="0" fontId="9" fillId="0" borderId="95" xfId="0" applyFont="1" applyBorder="1" applyAlignment="1">
      <alignment horizontal="center" vertical="center"/>
    </xf>
    <xf numFmtId="0" fontId="9" fillId="0" borderId="96" xfId="0" applyFont="1" applyBorder="1" applyAlignment="1">
      <alignment horizontal="center" vertical="center"/>
    </xf>
    <xf numFmtId="0" fontId="9" fillId="0" borderId="97" xfId="0" applyFont="1" applyBorder="1" applyAlignment="1">
      <alignment horizontal="center" vertical="center"/>
    </xf>
    <xf numFmtId="0" fontId="9" fillId="0" borderId="98" xfId="0" applyFont="1" applyBorder="1" applyAlignment="1">
      <alignment horizontal="center" vertical="center"/>
    </xf>
    <xf numFmtId="0" fontId="9" fillId="0" borderId="99" xfId="0" applyFont="1" applyBorder="1" applyAlignment="1">
      <alignment horizontal="center" vertical="center"/>
    </xf>
    <xf numFmtId="0" fontId="9" fillId="0" borderId="100" xfId="0" applyFont="1" applyBorder="1" applyAlignment="1">
      <alignment horizontal="center" vertical="center"/>
    </xf>
    <xf numFmtId="0" fontId="24" fillId="0" borderId="16" xfId="0" applyFont="1" applyBorder="1" applyAlignment="1">
      <alignment horizontal="center" vertical="center" wrapText="1"/>
    </xf>
    <xf numFmtId="0" fontId="9" fillId="0" borderId="16" xfId="0" applyFont="1" applyBorder="1" applyAlignment="1">
      <alignment horizontal="center" vertical="center" wrapText="1"/>
    </xf>
    <xf numFmtId="0" fontId="17" fillId="0" borderId="16" xfId="0" applyFont="1" applyBorder="1" applyAlignment="1">
      <alignment horizontal="center" vertical="center" wrapText="1"/>
    </xf>
    <xf numFmtId="0" fontId="17" fillId="0" borderId="90" xfId="0" applyFont="1" applyBorder="1" applyAlignment="1">
      <alignment horizontal="center" vertical="center" wrapText="1"/>
    </xf>
    <xf numFmtId="0" fontId="15" fillId="0" borderId="88" xfId="0" applyFont="1" applyBorder="1" applyAlignment="1">
      <alignment horizontal="center" vertical="center" wrapText="1"/>
    </xf>
    <xf numFmtId="0" fontId="8" fillId="0" borderId="89" xfId="0" applyFont="1" applyBorder="1" applyAlignment="1">
      <alignment horizontal="center" vertical="center" wrapText="1"/>
    </xf>
    <xf numFmtId="0" fontId="15" fillId="0" borderId="89" xfId="0" applyFont="1" applyBorder="1" applyAlignment="1">
      <alignment horizontal="center" vertical="center" wrapText="1"/>
    </xf>
    <xf numFmtId="0" fontId="8" fillId="0" borderId="90" xfId="0" applyFont="1" applyBorder="1" applyAlignment="1">
      <alignment horizontal="center" vertical="center" wrapText="1"/>
    </xf>
    <xf numFmtId="0" fontId="18" fillId="0" borderId="0" xfId="0" applyFont="1" applyAlignment="1">
      <alignment horizontal="left" vertical="center"/>
    </xf>
    <xf numFmtId="49" fontId="24" fillId="0" borderId="16" xfId="0" applyNumberFormat="1" applyFont="1" applyBorder="1" applyAlignment="1">
      <alignment horizontal="center" vertical="center" wrapText="1"/>
    </xf>
    <xf numFmtId="0" fontId="0" fillId="0" borderId="0" xfId="0" applyFont="1" applyBorder="1" applyAlignment="1"/>
    <xf numFmtId="0" fontId="9" fillId="0" borderId="23" xfId="0" applyFont="1" applyBorder="1" applyAlignment="1">
      <alignment textRotation="90"/>
    </xf>
    <xf numFmtId="0" fontId="9" fillId="0" borderId="24" xfId="0" applyFont="1" applyBorder="1" applyAlignment="1">
      <alignment textRotation="90"/>
    </xf>
    <xf numFmtId="0" fontId="9" fillId="0" borderId="27" xfId="0" applyFont="1" applyBorder="1" applyAlignment="1">
      <alignment horizontal="center" textRotation="90"/>
    </xf>
    <xf numFmtId="0" fontId="9" fillId="0" borderId="27" xfId="0" applyFont="1" applyBorder="1" applyAlignment="1">
      <alignment textRotation="90"/>
    </xf>
    <xf numFmtId="0" fontId="24" fillId="0" borderId="16" xfId="0" applyFont="1" applyBorder="1" applyAlignment="1">
      <alignment vertical="center" wrapText="1"/>
    </xf>
    <xf numFmtId="0" fontId="14" fillId="0" borderId="0" xfId="0" applyFont="1" applyAlignment="1">
      <alignment vertical="center"/>
    </xf>
    <xf numFmtId="0" fontId="9" fillId="0" borderId="33" xfId="0" applyFont="1" applyBorder="1" applyAlignment="1">
      <alignment horizontal="center" vertical="center" wrapText="1"/>
    </xf>
    <xf numFmtId="0" fontId="9" fillId="0" borderId="35" xfId="0" applyFont="1" applyBorder="1" applyAlignment="1">
      <alignment horizontal="center" vertical="center" wrapText="1"/>
    </xf>
    <xf numFmtId="0" fontId="15" fillId="0" borderId="33" xfId="0" applyFont="1" applyBorder="1" applyAlignment="1">
      <alignment horizontal="center" vertical="center" wrapText="1"/>
    </xf>
    <xf numFmtId="0" fontId="15" fillId="0" borderId="35" xfId="0" applyFont="1" applyBorder="1" applyAlignment="1">
      <alignment horizontal="center" vertical="center" wrapText="1"/>
    </xf>
    <xf numFmtId="0" fontId="26" fillId="0" borderId="16" xfId="0" applyFont="1" applyBorder="1" applyAlignment="1">
      <alignment horizontal="center" vertical="center" wrapText="1"/>
    </xf>
    <xf numFmtId="0" fontId="9" fillId="0" borderId="36" xfId="0" applyFont="1" applyBorder="1" applyAlignment="1">
      <alignment horizontal="center" vertical="center" wrapText="1"/>
    </xf>
    <xf numFmtId="49" fontId="2" fillId="0" borderId="13" xfId="0" applyNumberFormat="1" applyFont="1" applyBorder="1" applyAlignment="1">
      <alignment wrapText="1"/>
    </xf>
    <xf numFmtId="0" fontId="3" fillId="0" borderId="13" xfId="0" applyFont="1" applyBorder="1"/>
    <xf numFmtId="0" fontId="9" fillId="0" borderId="5" xfId="0" applyFont="1" applyBorder="1" applyAlignment="1">
      <alignment horizontal="center" vertical="center" wrapText="1"/>
    </xf>
    <xf numFmtId="0" fontId="13" fillId="0" borderId="38" xfId="0" applyFont="1" applyBorder="1" applyAlignment="1">
      <alignment horizontal="center" vertical="center"/>
    </xf>
    <xf numFmtId="0" fontId="8" fillId="0" borderId="0" xfId="0" applyFont="1" applyAlignment="1">
      <alignment horizontal="center"/>
    </xf>
    <xf numFmtId="0" fontId="9" fillId="0" borderId="0" xfId="0" applyFont="1" applyAlignment="1">
      <alignment horizontal="center" vertical="center"/>
    </xf>
    <xf numFmtId="0" fontId="14" fillId="0" borderId="44" xfId="0" applyFont="1" applyBorder="1" applyAlignment="1">
      <alignment horizontal="center" vertical="center"/>
    </xf>
    <xf numFmtId="0" fontId="14" fillId="0" borderId="39" xfId="0" applyFont="1" applyBorder="1" applyAlignment="1">
      <alignment horizontal="center" vertical="center"/>
    </xf>
    <xf numFmtId="0" fontId="14" fillId="0" borderId="45" xfId="0" applyFont="1" applyBorder="1" applyAlignment="1">
      <alignment horizontal="center" vertical="center"/>
    </xf>
    <xf numFmtId="0" fontId="13" fillId="2" borderId="40" xfId="0" applyFont="1" applyFill="1" applyBorder="1" applyAlignment="1">
      <alignment horizontal="center" vertical="center"/>
    </xf>
    <xf numFmtId="0" fontId="22" fillId="0" borderId="32" xfId="0" applyFont="1" applyBorder="1" applyAlignment="1">
      <alignment horizontal="center" vertical="center"/>
    </xf>
    <xf numFmtId="0" fontId="22" fillId="0" borderId="46" xfId="0" applyFont="1" applyBorder="1" applyAlignment="1">
      <alignment horizontal="center" vertical="center"/>
    </xf>
    <xf numFmtId="0" fontId="22" fillId="0" borderId="40" xfId="0" applyFont="1" applyBorder="1" applyAlignment="1">
      <alignment horizontal="center" vertical="center"/>
    </xf>
    <xf numFmtId="0" fontId="24" fillId="0" borderId="16" xfId="0" applyFont="1" applyBorder="1" applyAlignment="1">
      <alignment horizontal="center" vertical="center" wrapText="1"/>
    </xf>
    <xf numFmtId="0" fontId="13" fillId="2" borderId="44" xfId="0" applyFont="1" applyFill="1" applyBorder="1" applyAlignment="1">
      <alignment horizontal="center" vertical="center"/>
    </xf>
    <xf numFmtId="0" fontId="13" fillId="2" borderId="39" xfId="0" applyFont="1" applyFill="1" applyBorder="1" applyAlignment="1">
      <alignment horizontal="center" vertical="center"/>
    </xf>
    <xf numFmtId="0" fontId="13" fillId="2" borderId="45" xfId="0" applyFont="1" applyFill="1" applyBorder="1" applyAlignment="1">
      <alignment horizontal="center" vertical="center"/>
    </xf>
    <xf numFmtId="14" fontId="9" fillId="0" borderId="0" xfId="0" applyNumberFormat="1" applyFont="1" applyAlignment="1">
      <alignment horizontal="center" vertical="center"/>
    </xf>
    <xf numFmtId="0" fontId="13" fillId="0" borderId="0" xfId="0" applyFont="1" applyBorder="1" applyAlignment="1">
      <alignment horizontal="center" vertical="center"/>
    </xf>
    <xf numFmtId="0" fontId="13" fillId="2" borderId="16" xfId="0" applyFont="1" applyFill="1" applyBorder="1" applyAlignment="1">
      <alignment horizontal="center" vertical="center"/>
    </xf>
    <xf numFmtId="0" fontId="13" fillId="0" borderId="0" xfId="0" applyFont="1" applyAlignment="1">
      <alignment horizontal="center" vertical="center"/>
    </xf>
    <xf numFmtId="0" fontId="24" fillId="0" borderId="36" xfId="0" applyFont="1" applyBorder="1" applyAlignment="1">
      <alignment horizontal="center" vertical="center" wrapText="1"/>
    </xf>
    <xf numFmtId="0" fontId="24" fillId="0" borderId="35" xfId="0" applyFont="1" applyBorder="1" applyAlignment="1">
      <alignment horizontal="center" vertical="center" wrapText="1"/>
    </xf>
    <xf numFmtId="0" fontId="25" fillId="0" borderId="16" xfId="0" applyFont="1" applyBorder="1" applyAlignment="1">
      <alignment horizontal="center"/>
    </xf>
    <xf numFmtId="0" fontId="7" fillId="0" borderId="0" xfId="1" applyFont="1" applyAlignment="1">
      <alignment horizontal="center" vertical="top"/>
    </xf>
    <xf numFmtId="0" fontId="9" fillId="0" borderId="16" xfId="0" applyFont="1" applyBorder="1" applyAlignment="1">
      <alignment horizontal="center" vertical="center" wrapText="1"/>
    </xf>
    <xf numFmtId="0" fontId="10" fillId="0" borderId="32" xfId="1" applyFont="1" applyBorder="1" applyAlignment="1">
      <alignment horizontal="center" vertical="center" wrapText="1"/>
    </xf>
    <xf numFmtId="14" fontId="9" fillId="0" borderId="0" xfId="1" applyNumberFormat="1" applyFont="1" applyAlignment="1">
      <alignment horizontal="center"/>
    </xf>
    <xf numFmtId="0" fontId="9" fillId="0" borderId="0" xfId="1" applyFont="1" applyAlignment="1">
      <alignment horizontal="center"/>
    </xf>
    <xf numFmtId="0" fontId="8" fillId="0" borderId="53" xfId="1" applyFont="1" applyBorder="1" applyAlignment="1">
      <alignment horizontal="center" vertical="center"/>
    </xf>
    <xf numFmtId="0" fontId="9" fillId="0" borderId="57" xfId="1" applyFont="1" applyBorder="1" applyAlignment="1">
      <alignment horizontal="center" vertical="center" wrapText="1"/>
    </xf>
    <xf numFmtId="0" fontId="5" fillId="0" borderId="58" xfId="1" applyFont="1" applyBorder="1" applyAlignment="1">
      <alignment horizontal="center" vertical="center" wrapText="1"/>
    </xf>
    <xf numFmtId="0" fontId="5" fillId="0" borderId="59" xfId="1" applyFont="1" applyBorder="1" applyAlignment="1">
      <alignment horizontal="center" vertical="center" wrapText="1"/>
    </xf>
    <xf numFmtId="0" fontId="7" fillId="0" borderId="57" xfId="1" applyFont="1" applyBorder="1" applyAlignment="1">
      <alignment horizontal="center" vertical="center" wrapText="1"/>
    </xf>
    <xf numFmtId="0" fontId="7" fillId="0" borderId="58" xfId="1" applyFont="1" applyBorder="1" applyAlignment="1">
      <alignment horizontal="center" vertical="center" wrapText="1"/>
    </xf>
    <xf numFmtId="0" fontId="7" fillId="0" borderId="59" xfId="1" applyFont="1" applyBorder="1" applyAlignment="1">
      <alignment horizontal="center" vertical="center" wrapText="1"/>
    </xf>
    <xf numFmtId="0" fontId="8" fillId="0" borderId="75" xfId="1" applyFont="1" applyBorder="1" applyAlignment="1">
      <alignment horizontal="left" vertical="center" wrapText="1"/>
    </xf>
    <xf numFmtId="0" fontId="8" fillId="0" borderId="78" xfId="1" applyFont="1" applyBorder="1" applyAlignment="1">
      <alignment horizontal="left" vertical="center" wrapText="1"/>
    </xf>
    <xf numFmtId="0" fontId="7" fillId="0" borderId="76" xfId="1" applyFont="1" applyBorder="1" applyAlignment="1">
      <alignment horizontal="center" vertical="center" wrapText="1"/>
    </xf>
    <xf numFmtId="0" fontId="7" fillId="0" borderId="77" xfId="1" applyFont="1" applyBorder="1" applyAlignment="1">
      <alignment horizontal="center" vertical="center" wrapText="1"/>
    </xf>
    <xf numFmtId="0" fontId="7" fillId="0" borderId="3" xfId="1" applyFont="1" applyBorder="1" applyAlignment="1">
      <alignment horizontal="center" vertical="center" wrapText="1"/>
    </xf>
    <xf numFmtId="0" fontId="7" fillId="0" borderId="68" xfId="1" applyFont="1" applyBorder="1" applyAlignment="1">
      <alignment horizontal="center" vertical="center" wrapText="1"/>
    </xf>
    <xf numFmtId="0" fontId="9" fillId="0" borderId="72" xfId="1" applyFont="1" applyBorder="1" applyAlignment="1">
      <alignment horizontal="center" vertical="center" wrapText="1"/>
    </xf>
    <xf numFmtId="0" fontId="9" fillId="0" borderId="73" xfId="1" applyFont="1" applyBorder="1" applyAlignment="1">
      <alignment horizontal="center" vertical="center" wrapText="1"/>
    </xf>
    <xf numFmtId="0" fontId="9" fillId="0" borderId="74" xfId="1" applyFont="1" applyBorder="1" applyAlignment="1">
      <alignment horizontal="center" vertical="center" wrapText="1"/>
    </xf>
    <xf numFmtId="0" fontId="13" fillId="0" borderId="72" xfId="1" applyFont="1" applyBorder="1" applyAlignment="1">
      <alignment horizontal="center" vertical="center"/>
    </xf>
    <xf numFmtId="0" fontId="13" fillId="0" borderId="74" xfId="1" applyFont="1" applyBorder="1" applyAlignment="1">
      <alignment horizontal="center" vertical="center"/>
    </xf>
    <xf numFmtId="0" fontId="8" fillId="0" borderId="79" xfId="1" applyFont="1" applyBorder="1" applyAlignment="1">
      <alignment horizontal="left" vertical="center" wrapText="1"/>
    </xf>
    <xf numFmtId="0" fontId="8" fillId="0" borderId="80" xfId="1" applyFont="1" applyBorder="1" applyAlignment="1">
      <alignment horizontal="left" vertical="center" wrapText="1"/>
    </xf>
    <xf numFmtId="0" fontId="14" fillId="3" borderId="62" xfId="1" applyFont="1" applyFill="1" applyBorder="1" applyAlignment="1">
      <alignment horizontal="center" vertical="center"/>
    </xf>
    <xf numFmtId="0" fontId="14" fillId="3" borderId="64" xfId="1" applyFont="1" applyFill="1" applyBorder="1" applyAlignment="1">
      <alignment horizontal="center" vertical="center"/>
    </xf>
    <xf numFmtId="0" fontId="20" fillId="0" borderId="82" xfId="1" applyFont="1" applyBorder="1" applyAlignment="1">
      <alignment horizontal="center" vertical="center"/>
    </xf>
    <xf numFmtId="0" fontId="20" fillId="0" borderId="83" xfId="1" applyFont="1" applyBorder="1" applyAlignment="1">
      <alignment horizontal="center" vertical="center"/>
    </xf>
    <xf numFmtId="0" fontId="20" fillId="0" borderId="84" xfId="1" applyFont="1" applyBorder="1" applyAlignment="1">
      <alignment horizontal="center" vertical="center"/>
    </xf>
    <xf numFmtId="0" fontId="17" fillId="0" borderId="75" xfId="1" applyFont="1" applyBorder="1" applyAlignment="1">
      <alignment horizontal="left" vertical="center" wrapText="1"/>
    </xf>
    <xf numFmtId="0" fontId="17" fillId="0" borderId="78" xfId="1" applyFont="1" applyBorder="1" applyAlignment="1">
      <alignment horizontal="left" vertical="center" wrapText="1"/>
    </xf>
    <xf numFmtId="0" fontId="17" fillId="0" borderId="56" xfId="1" applyFont="1" applyBorder="1" applyAlignment="1">
      <alignment horizontal="left" vertical="center" wrapText="1"/>
    </xf>
    <xf numFmtId="0" fontId="17" fillId="0" borderId="85" xfId="1" applyFont="1" applyBorder="1" applyAlignment="1">
      <alignment horizontal="left" vertical="center" wrapText="1"/>
    </xf>
    <xf numFmtId="0" fontId="17" fillId="0" borderId="55" xfId="1" applyFont="1" applyBorder="1" applyAlignment="1">
      <alignment horizontal="left" vertical="center" wrapText="1"/>
    </xf>
    <xf numFmtId="0" fontId="17" fillId="0" borderId="68" xfId="1" applyFont="1" applyBorder="1" applyAlignment="1">
      <alignment horizontal="left" vertical="center" wrapText="1"/>
    </xf>
    <xf numFmtId="0" fontId="8" fillId="0" borderId="62" xfId="1" applyFont="1" applyBorder="1" applyAlignment="1">
      <alignment horizontal="center" vertical="center" wrapText="1"/>
    </xf>
    <xf numFmtId="0" fontId="8" fillId="0" borderId="63" xfId="1" applyFont="1" applyBorder="1" applyAlignment="1">
      <alignment horizontal="center" vertical="center" wrapText="1"/>
    </xf>
    <xf numFmtId="0" fontId="8" fillId="0" borderId="64" xfId="1" applyFont="1" applyBorder="1" applyAlignment="1">
      <alignment horizontal="center" vertical="center" wrapText="1"/>
    </xf>
    <xf numFmtId="0" fontId="8" fillId="0" borderId="0" xfId="1" applyFont="1" applyAlignment="1">
      <alignment horizontal="center" vertical="top"/>
    </xf>
    <xf numFmtId="0" fontId="9" fillId="0" borderId="5" xfId="1" applyFont="1" applyBorder="1" applyAlignment="1">
      <alignment horizontal="center" vertical="center" wrapText="1"/>
    </xf>
    <xf numFmtId="0" fontId="10" fillId="0" borderId="8" xfId="1" applyFont="1" applyBorder="1" applyAlignment="1">
      <alignment horizontal="center" vertical="center" wrapText="1"/>
    </xf>
    <xf numFmtId="0" fontId="8" fillId="0" borderId="5" xfId="1" applyFont="1" applyBorder="1" applyAlignment="1">
      <alignment horizontal="center" vertical="center" wrapText="1"/>
    </xf>
  </cellXfs>
  <cellStyles count="3">
    <cellStyle name="Normal" xfId="0" builtinId="0"/>
    <cellStyle name="Normal 2" xfId="1"/>
    <cellStyle name="Normal 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47625</xdr:colOff>
      <xdr:row>1</xdr:row>
      <xdr:rowOff>47625</xdr:rowOff>
    </xdr:from>
    <xdr:ext cx="5562600" cy="581025"/>
    <xdr:pic>
      <xdr:nvPicPr>
        <xdr:cNvPr id="2" name="image1.png"/>
        <xdr:cNvPicPr preferRelativeResize="0"/>
      </xdr:nvPicPr>
      <xdr:blipFill>
        <a:blip xmlns:r="http://schemas.openxmlformats.org/officeDocument/2006/relationships" r:embed="rId1" cstate="print"/>
        <a:stretch>
          <a:fillRect/>
        </a:stretch>
      </xdr:blipFill>
      <xdr:spPr>
        <a:xfrm>
          <a:off x="314325" y="981075"/>
          <a:ext cx="5562600" cy="5810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1:D1000"/>
  <sheetViews>
    <sheetView showGridLines="0" topLeftCell="A67" workbookViewId="0">
      <selection activeCell="B1" sqref="B1:D1"/>
    </sheetView>
  </sheetViews>
  <sheetFormatPr defaultColWidth="12.625" defaultRowHeight="15" customHeight="1"/>
  <cols>
    <col min="1" max="1" width="3.5" customWidth="1"/>
    <col min="2" max="2" width="13.375" customWidth="1"/>
    <col min="3" max="3" width="17.375" customWidth="1"/>
    <col min="4" max="4" width="43.375" customWidth="1"/>
    <col min="5" max="26" width="8.625" customWidth="1"/>
  </cols>
  <sheetData>
    <row r="1" spans="2:4" ht="73.5" customHeight="1" thickTop="1" thickBot="1">
      <c r="B1" s="171" t="s">
        <v>235</v>
      </c>
      <c r="C1" s="171"/>
      <c r="D1" s="171"/>
    </row>
    <row r="2" spans="2:4" ht="52.5" customHeight="1" thickTop="1" thickBot="1">
      <c r="B2" s="169"/>
      <c r="C2" s="170"/>
      <c r="D2" s="170"/>
    </row>
    <row r="3" spans="2:4" ht="47.25" customHeight="1" thickTop="1" thickBot="1">
      <c r="B3" s="23" t="s">
        <v>40</v>
      </c>
      <c r="C3" s="23" t="s">
        <v>41</v>
      </c>
      <c r="D3" s="24" t="s">
        <v>42</v>
      </c>
    </row>
    <row r="4" spans="2:4" ht="24.95" customHeight="1" thickTop="1" thickBot="1">
      <c r="B4" s="20">
        <v>1</v>
      </c>
      <c r="C4" s="21">
        <v>58</v>
      </c>
      <c r="D4" s="22" t="s">
        <v>225</v>
      </c>
    </row>
    <row r="5" spans="2:4" ht="24.95" customHeight="1" thickBot="1">
      <c r="B5" s="16">
        <v>2</v>
      </c>
      <c r="C5" s="10">
        <v>60</v>
      </c>
      <c r="D5" s="11" t="s">
        <v>226</v>
      </c>
    </row>
    <row r="6" spans="2:4" ht="24.95" customHeight="1" thickBot="1">
      <c r="B6" s="16">
        <v>3</v>
      </c>
      <c r="C6" s="10">
        <v>65</v>
      </c>
      <c r="D6" s="11" t="s">
        <v>227</v>
      </c>
    </row>
    <row r="7" spans="2:4" ht="24.95" customHeight="1" thickBot="1">
      <c r="B7" s="16">
        <v>4</v>
      </c>
      <c r="C7" s="10">
        <v>70</v>
      </c>
      <c r="D7" s="11" t="s">
        <v>228</v>
      </c>
    </row>
    <row r="8" spans="2:4" ht="24.95" customHeight="1" thickBot="1">
      <c r="B8" s="16">
        <v>5</v>
      </c>
      <c r="C8" s="10">
        <v>80</v>
      </c>
      <c r="D8" s="11" t="s">
        <v>229</v>
      </c>
    </row>
    <row r="9" spans="2:4" ht="24.95" customHeight="1" thickBot="1">
      <c r="B9" s="16">
        <v>6</v>
      </c>
      <c r="C9" s="10">
        <v>95</v>
      </c>
      <c r="D9" s="11" t="s">
        <v>230</v>
      </c>
    </row>
    <row r="10" spans="2:4" ht="24.95" customHeight="1" thickBot="1">
      <c r="B10" s="16">
        <v>7</v>
      </c>
      <c r="C10" s="10">
        <v>100</v>
      </c>
      <c r="D10" s="11" t="s">
        <v>231</v>
      </c>
    </row>
    <row r="11" spans="2:4" ht="24.95" customHeight="1" thickBot="1">
      <c r="B11" s="16">
        <v>8</v>
      </c>
      <c r="C11" s="10">
        <v>115</v>
      </c>
      <c r="D11" s="11" t="s">
        <v>232</v>
      </c>
    </row>
    <row r="12" spans="2:4" ht="24.95" customHeight="1" thickBot="1">
      <c r="B12" s="16">
        <v>9</v>
      </c>
      <c r="C12" s="10">
        <v>200</v>
      </c>
      <c r="D12" s="11" t="s">
        <v>233</v>
      </c>
    </row>
    <row r="13" spans="2:4" ht="24.95" customHeight="1" thickBot="1">
      <c r="B13" s="16">
        <v>10</v>
      </c>
      <c r="C13" s="10">
        <v>215</v>
      </c>
      <c r="D13" s="11" t="s">
        <v>234</v>
      </c>
    </row>
    <row r="14" spans="2:4" ht="24.95" customHeight="1" thickBot="1">
      <c r="B14" s="16">
        <v>11</v>
      </c>
      <c r="C14" s="10"/>
      <c r="D14" s="11"/>
    </row>
    <row r="15" spans="2:4" ht="24.95" customHeight="1" thickBot="1">
      <c r="B15" s="16">
        <v>12</v>
      </c>
      <c r="C15" s="10"/>
      <c r="D15" s="11"/>
    </row>
    <row r="16" spans="2:4" ht="24.95" customHeight="1" thickBot="1">
      <c r="B16" s="16">
        <v>13</v>
      </c>
      <c r="C16" s="10"/>
      <c r="D16" s="11"/>
    </row>
    <row r="17" spans="2:4" ht="24.95" customHeight="1" thickBot="1">
      <c r="B17" s="16">
        <v>14</v>
      </c>
      <c r="C17" s="10"/>
      <c r="D17" s="11"/>
    </row>
    <row r="18" spans="2:4" ht="24.95" customHeight="1" thickBot="1">
      <c r="B18" s="16">
        <v>15</v>
      </c>
      <c r="C18" s="10"/>
      <c r="D18" s="11"/>
    </row>
    <row r="19" spans="2:4" ht="24.95" customHeight="1" thickBot="1">
      <c r="B19" s="16">
        <v>16</v>
      </c>
      <c r="C19" s="10"/>
      <c r="D19" s="11"/>
    </row>
    <row r="20" spans="2:4" ht="24.95" customHeight="1" thickBot="1">
      <c r="B20" s="16">
        <v>17</v>
      </c>
      <c r="C20" s="10"/>
      <c r="D20" s="11"/>
    </row>
    <row r="21" spans="2:4" ht="24.95" customHeight="1" thickBot="1">
      <c r="B21" s="16">
        <v>18</v>
      </c>
      <c r="C21" s="10"/>
      <c r="D21" s="11"/>
    </row>
    <row r="22" spans="2:4" ht="24.95" customHeight="1" thickBot="1">
      <c r="B22" s="16">
        <v>19</v>
      </c>
      <c r="C22" s="10"/>
      <c r="D22" s="11"/>
    </row>
    <row r="23" spans="2:4" ht="24.95" customHeight="1" thickBot="1">
      <c r="B23" s="16">
        <v>20</v>
      </c>
      <c r="C23" s="10"/>
      <c r="D23" s="11"/>
    </row>
    <row r="24" spans="2:4" ht="24.95" customHeight="1" thickBot="1">
      <c r="B24" s="16">
        <v>21</v>
      </c>
      <c r="C24" s="10"/>
      <c r="D24" s="11"/>
    </row>
    <row r="25" spans="2:4" ht="24.95" customHeight="1" thickBot="1">
      <c r="B25" s="16">
        <v>22</v>
      </c>
      <c r="C25" s="10"/>
      <c r="D25" s="11"/>
    </row>
    <row r="26" spans="2:4" ht="24.95" customHeight="1" thickBot="1">
      <c r="B26" s="16">
        <v>23</v>
      </c>
      <c r="C26" s="10"/>
      <c r="D26" s="11"/>
    </row>
    <row r="27" spans="2:4" ht="24.95" customHeight="1" thickBot="1">
      <c r="B27" s="16">
        <v>24</v>
      </c>
      <c r="C27" s="10"/>
      <c r="D27" s="11"/>
    </row>
    <row r="28" spans="2:4" ht="24.95" customHeight="1" thickBot="1">
      <c r="B28" s="16">
        <v>25</v>
      </c>
      <c r="C28" s="10"/>
      <c r="D28" s="11"/>
    </row>
    <row r="29" spans="2:4" ht="24.95" customHeight="1" thickBot="1">
      <c r="B29" s="16">
        <v>26</v>
      </c>
      <c r="C29" s="12"/>
      <c r="D29" s="13"/>
    </row>
    <row r="30" spans="2:4" ht="24.95" customHeight="1" thickBot="1">
      <c r="B30" s="16">
        <v>27</v>
      </c>
      <c r="C30" s="14"/>
      <c r="D30" s="15"/>
    </row>
    <row r="31" spans="2:4" ht="24.95" customHeight="1">
      <c r="B31" s="16">
        <v>28</v>
      </c>
      <c r="C31" s="17"/>
      <c r="D31" s="17"/>
    </row>
    <row r="32" spans="2:4" ht="24.95" customHeight="1">
      <c r="B32" s="16">
        <v>29</v>
      </c>
      <c r="C32" s="17"/>
      <c r="D32" s="17"/>
    </row>
    <row r="33" spans="2:4" ht="24.95" customHeight="1">
      <c r="B33" s="16">
        <v>30</v>
      </c>
      <c r="C33" s="17"/>
      <c r="D33" s="17"/>
    </row>
    <row r="34" spans="2:4" ht="24.95" customHeight="1">
      <c r="B34" s="16">
        <v>31</v>
      </c>
      <c r="C34" s="17"/>
      <c r="D34" s="17"/>
    </row>
    <row r="35" spans="2:4" ht="24.95" customHeight="1">
      <c r="B35" s="16">
        <v>32</v>
      </c>
      <c r="C35" s="17"/>
      <c r="D35" s="17"/>
    </row>
    <row r="36" spans="2:4" ht="24.95" customHeight="1">
      <c r="B36" s="16">
        <v>33</v>
      </c>
      <c r="C36" s="17"/>
      <c r="D36" s="17"/>
    </row>
    <row r="37" spans="2:4" ht="24.95" customHeight="1">
      <c r="B37" s="16">
        <v>34</v>
      </c>
      <c r="C37" s="17"/>
      <c r="D37" s="17"/>
    </row>
    <row r="38" spans="2:4" ht="24.95" customHeight="1">
      <c r="B38" s="16">
        <v>35</v>
      </c>
      <c r="C38" s="17"/>
      <c r="D38" s="17"/>
    </row>
    <row r="39" spans="2:4" ht="24.95" customHeight="1">
      <c r="B39" s="16">
        <v>36</v>
      </c>
      <c r="C39" s="17"/>
      <c r="D39" s="17"/>
    </row>
    <row r="40" spans="2:4" ht="24.95" customHeight="1">
      <c r="B40" s="16">
        <v>37</v>
      </c>
      <c r="C40" s="17"/>
      <c r="D40" s="17"/>
    </row>
    <row r="41" spans="2:4" ht="24.95" customHeight="1">
      <c r="B41" s="16">
        <v>38</v>
      </c>
      <c r="C41" s="17"/>
      <c r="D41" s="17"/>
    </row>
    <row r="42" spans="2:4" ht="24.95" customHeight="1">
      <c r="B42" s="16">
        <v>39</v>
      </c>
      <c r="C42" s="17"/>
      <c r="D42" s="17"/>
    </row>
    <row r="43" spans="2:4" ht="24.95" customHeight="1" thickBot="1">
      <c r="B43" s="18">
        <v>40</v>
      </c>
      <c r="C43" s="19"/>
      <c r="D43" s="19"/>
    </row>
    <row r="44" spans="2:4" ht="14.25" customHeight="1" thickTop="1"/>
    <row r="45" spans="2:4" ht="14.25" customHeight="1"/>
    <row r="46" spans="2:4" ht="14.25" customHeight="1"/>
    <row r="47" spans="2:4" ht="14.25" customHeight="1"/>
    <row r="48" spans="2:4"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B2:D2"/>
    <mergeCell ref="B1:D1"/>
  </mergeCells>
  <pageMargins left="0.7" right="0.7" top="0.75" bottom="0.75" header="0" footer="0"/>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pageSetUpPr fitToPage="1"/>
  </sheetPr>
  <dimension ref="A1:AT997"/>
  <sheetViews>
    <sheetView showGridLines="0" topLeftCell="A9" zoomScale="50" zoomScaleNormal="50" workbookViewId="0">
      <selection activeCell="I14" sqref="I14"/>
    </sheetView>
  </sheetViews>
  <sheetFormatPr defaultColWidth="12.625" defaultRowHeight="15" customHeight="1"/>
  <cols>
    <col min="1" max="1" width="37" customWidth="1"/>
    <col min="2" max="5" width="30.625" customWidth="1"/>
    <col min="6" max="46" width="5.625" customWidth="1"/>
  </cols>
  <sheetData>
    <row r="1" spans="1:46" ht="58.5" customHeight="1" thickBot="1">
      <c r="A1" s="172" t="s">
        <v>236</v>
      </c>
      <c r="B1" s="172"/>
      <c r="C1" s="172"/>
      <c r="D1" s="172"/>
      <c r="E1" s="172"/>
      <c r="F1" s="172"/>
      <c r="G1" s="172"/>
      <c r="H1" s="172"/>
      <c r="I1" s="172"/>
      <c r="J1" s="172"/>
      <c r="K1" s="172"/>
      <c r="L1" s="172"/>
      <c r="M1" s="172"/>
      <c r="N1" s="172"/>
      <c r="O1" s="172"/>
      <c r="P1" s="172"/>
      <c r="Q1" s="172"/>
      <c r="R1" s="172"/>
      <c r="S1" s="172"/>
      <c r="T1" s="172"/>
      <c r="U1" s="172"/>
      <c r="V1" s="172"/>
      <c r="W1" s="172"/>
      <c r="X1" s="172"/>
      <c r="Y1" s="172"/>
      <c r="Z1" s="172"/>
      <c r="AA1" s="172"/>
      <c r="AB1" s="172"/>
      <c r="AC1" s="172"/>
      <c r="AD1" s="172"/>
      <c r="AE1" s="172"/>
      <c r="AF1" s="172"/>
      <c r="AG1" s="172"/>
      <c r="AH1" s="172"/>
      <c r="AI1" s="172"/>
      <c r="AJ1" s="172"/>
      <c r="AK1" s="172"/>
      <c r="AL1" s="172"/>
      <c r="AM1" s="172"/>
      <c r="AN1" s="172"/>
      <c r="AO1" s="172"/>
      <c r="AP1" s="172"/>
      <c r="AQ1" s="172"/>
      <c r="AR1" s="172"/>
      <c r="AS1" s="172"/>
      <c r="AT1" s="172"/>
    </row>
    <row r="2" spans="1:46" ht="40.5" customHeight="1" thickTop="1" thickBot="1">
      <c r="A2" s="175" t="s">
        <v>99</v>
      </c>
      <c r="B2" s="176"/>
      <c r="C2" s="176"/>
      <c r="D2" s="176"/>
      <c r="E2" s="176"/>
      <c r="F2" s="176"/>
      <c r="G2" s="176"/>
      <c r="H2" s="176"/>
      <c r="I2" s="176"/>
      <c r="J2" s="176"/>
      <c r="K2" s="176"/>
      <c r="L2" s="176"/>
      <c r="M2" s="176"/>
      <c r="N2" s="176"/>
      <c r="O2" s="176"/>
      <c r="P2" s="176"/>
      <c r="Q2" s="176"/>
      <c r="R2" s="176"/>
      <c r="S2" s="176"/>
      <c r="T2" s="176"/>
      <c r="U2" s="176"/>
      <c r="V2" s="176"/>
      <c r="W2" s="176"/>
      <c r="X2" s="176"/>
      <c r="Y2" s="176"/>
      <c r="Z2" s="176"/>
      <c r="AA2" s="176"/>
      <c r="AB2" s="176"/>
      <c r="AC2" s="176"/>
      <c r="AD2" s="176"/>
      <c r="AE2" s="176"/>
      <c r="AF2" s="176"/>
      <c r="AG2" s="176"/>
      <c r="AH2" s="176"/>
      <c r="AI2" s="176"/>
      <c r="AJ2" s="176"/>
      <c r="AK2" s="176"/>
      <c r="AL2" s="176"/>
      <c r="AM2" s="176"/>
      <c r="AN2" s="176"/>
      <c r="AO2" s="176"/>
      <c r="AP2" s="176"/>
      <c r="AQ2" s="176"/>
      <c r="AR2" s="176"/>
      <c r="AS2" s="176"/>
      <c r="AT2" s="177"/>
    </row>
    <row r="3" spans="1:46" ht="215.1" customHeight="1" thickTop="1" thickBot="1">
      <c r="A3" s="124" t="s">
        <v>45</v>
      </c>
      <c r="B3" s="125" t="s">
        <v>64</v>
      </c>
      <c r="C3" s="125" t="s">
        <v>65</v>
      </c>
      <c r="D3" s="125" t="s">
        <v>66</v>
      </c>
      <c r="E3" s="125" t="s">
        <v>67</v>
      </c>
      <c r="F3" s="121" t="str">
        <f ca="1">OFFSET('Öğrenci Bilgileri'!$D$4, COLUMN(A1)-1, 0)</f>
        <v>EKREM YEKREK</v>
      </c>
      <c r="G3" s="121" t="str">
        <f ca="1">OFFSET('Öğrenci Bilgileri'!$D$4, COLUMN(B1)-1, 0)</f>
        <v>SAMİ İL</v>
      </c>
      <c r="H3" s="121" t="str">
        <f ca="1">OFFSET('Öğrenci Bilgileri'!$D$4, COLUMN(C1)-1, 0)</f>
        <v>AHMET ÖZBAHAR</v>
      </c>
      <c r="I3" s="121" t="str">
        <f ca="1">OFFSET('Öğrenci Bilgileri'!$D$4, COLUMN(D1)-1, 0)</f>
        <v>FATMA ŞENGÜL</v>
      </c>
      <c r="J3" s="121" t="str">
        <f ca="1">OFFSET('Öğrenci Bilgileri'!$D$4, COLUMN(E1)-1, 0)</f>
        <v>GÖNÜL KORKUT</v>
      </c>
      <c r="K3" s="121" t="str">
        <f ca="1">OFFSET('Öğrenci Bilgileri'!$D$4, COLUMN(F1)-1, 0)</f>
        <v>MEHMET TANER</v>
      </c>
      <c r="L3" s="121" t="str">
        <f ca="1">OFFSET('Öğrenci Bilgileri'!$D$4, COLUMN(G1)-1, 0)</f>
        <v>HARUN DERİN</v>
      </c>
      <c r="M3" s="121" t="str">
        <f ca="1">OFFSET('Öğrenci Bilgileri'!$D$4, COLUMN(H1)-1, 0)</f>
        <v>MERVE KAMALAK</v>
      </c>
      <c r="N3" s="121" t="str">
        <f ca="1">OFFSET('Öğrenci Bilgileri'!$D$4, COLUMN(I1)-1, 0)</f>
        <v>ÜMRAN AYKIŞ</v>
      </c>
      <c r="O3" s="121" t="str">
        <f ca="1">OFFSET('Öğrenci Bilgileri'!$D$4, COLUMN(J1)-1, 0)</f>
        <v>IŞIL ÖZLER</v>
      </c>
      <c r="P3" s="121">
        <f ca="1">OFFSET('Öğrenci Bilgileri'!$D$4, COLUMN(K1)-1, 0)</f>
        <v>0</v>
      </c>
      <c r="Q3" s="121">
        <f ca="1">OFFSET('Öğrenci Bilgileri'!$D$4, COLUMN(L1)-1, 0)</f>
        <v>0</v>
      </c>
      <c r="R3" s="121">
        <f ca="1">OFFSET('Öğrenci Bilgileri'!$D$4, COLUMN(M1)-1, 0)</f>
        <v>0</v>
      </c>
      <c r="S3" s="121">
        <f ca="1">OFFSET('Öğrenci Bilgileri'!$D$4, COLUMN(N1)-1, 0)</f>
        <v>0</v>
      </c>
      <c r="T3" s="121">
        <f ca="1">OFFSET('Öğrenci Bilgileri'!$D$4, COLUMN(O1)-1, 0)</f>
        <v>0</v>
      </c>
      <c r="U3" s="121">
        <f ca="1">OFFSET('Öğrenci Bilgileri'!$D$4, COLUMN(P1)-1, 0)</f>
        <v>0</v>
      </c>
      <c r="V3" s="121">
        <f ca="1">OFFSET('Öğrenci Bilgileri'!$D$4, COLUMN(Q1)-1, 0)</f>
        <v>0</v>
      </c>
      <c r="W3" s="121">
        <f ca="1">OFFSET('Öğrenci Bilgileri'!$D$4, COLUMN(R1)-1, 0)</f>
        <v>0</v>
      </c>
      <c r="X3" s="121">
        <f ca="1">OFFSET('Öğrenci Bilgileri'!$D$4, COLUMN(S1)-1, 0)</f>
        <v>0</v>
      </c>
      <c r="Y3" s="121">
        <f ca="1">OFFSET('Öğrenci Bilgileri'!$D$4, COLUMN(T1)-1, 0)</f>
        <v>0</v>
      </c>
      <c r="Z3" s="121">
        <f ca="1">OFFSET('Öğrenci Bilgileri'!$D$4, COLUMN(U1)-1, 0)</f>
        <v>0</v>
      </c>
      <c r="AA3" s="121">
        <f ca="1">OFFSET('Öğrenci Bilgileri'!$D$4, COLUMN(V1)-1, 0)</f>
        <v>0</v>
      </c>
      <c r="AB3" s="121">
        <f ca="1">OFFSET('Öğrenci Bilgileri'!$D$4, COLUMN(W1)-1, 0)</f>
        <v>0</v>
      </c>
      <c r="AC3" s="121">
        <f ca="1">OFFSET('Öğrenci Bilgileri'!$D$4, COLUMN(X1)-1, 0)</f>
        <v>0</v>
      </c>
      <c r="AD3" s="121">
        <f ca="1">OFFSET('Öğrenci Bilgileri'!$D$4, COLUMN(Y1)-1, 0)</f>
        <v>0</v>
      </c>
      <c r="AE3" s="121">
        <f ca="1">OFFSET('Öğrenci Bilgileri'!$D$4, COLUMN(Z1)-1, 0)</f>
        <v>0</v>
      </c>
      <c r="AF3" s="121">
        <f ca="1">OFFSET('Öğrenci Bilgileri'!$D$4, COLUMN(AA1)-1, 0)</f>
        <v>0</v>
      </c>
      <c r="AG3" s="121">
        <f ca="1">OFFSET('Öğrenci Bilgileri'!$D$4, COLUMN(AB1)-1, 0)</f>
        <v>0</v>
      </c>
      <c r="AH3" s="121">
        <f ca="1">OFFSET('Öğrenci Bilgileri'!$D$4, COLUMN(AC1)-1, 0)</f>
        <v>0</v>
      </c>
      <c r="AI3" s="121">
        <f ca="1">OFFSET('Öğrenci Bilgileri'!$D$4, COLUMN(AD1)-1, 0)</f>
        <v>0</v>
      </c>
      <c r="AJ3" s="121">
        <f ca="1">OFFSET('Öğrenci Bilgileri'!$D$4, COLUMN(AE1)-1, 0)</f>
        <v>0</v>
      </c>
      <c r="AK3" s="121">
        <f ca="1">OFFSET('Öğrenci Bilgileri'!$D$4, COLUMN(AF1)-1, 0)</f>
        <v>0</v>
      </c>
      <c r="AL3" s="121">
        <f ca="1">OFFSET('Öğrenci Bilgileri'!$D$4, COLUMN(AG1)-1, 0)</f>
        <v>0</v>
      </c>
      <c r="AM3" s="121">
        <f ca="1">OFFSET('Öğrenci Bilgileri'!$D$4, COLUMN(AH1)-1, 0)</f>
        <v>0</v>
      </c>
      <c r="AN3" s="121">
        <f ca="1">OFFSET('Öğrenci Bilgileri'!$D$4, COLUMN(AI1)-1, 0)</f>
        <v>0</v>
      </c>
      <c r="AO3" s="121">
        <f ca="1">OFFSET('Öğrenci Bilgileri'!$D$4, COLUMN(AJ1)-1, 0)</f>
        <v>0</v>
      </c>
      <c r="AP3" s="121">
        <f ca="1">OFFSET('Öğrenci Bilgileri'!$D$4, COLUMN(AK1)-1, 0)</f>
        <v>0</v>
      </c>
      <c r="AQ3" s="121">
        <f ca="1">OFFSET('Öğrenci Bilgileri'!$D$4, COLUMN(AL1)-1, 0)</f>
        <v>0</v>
      </c>
      <c r="AR3" s="121">
        <f ca="1">OFFSET('Öğrenci Bilgileri'!$D$4, COLUMN(AM1)-1, 0)</f>
        <v>0</v>
      </c>
      <c r="AS3" s="121">
        <f ca="1">OFFSET('Öğrenci Bilgileri'!$D$4, COLUMN(AN1)-1, 0)</f>
        <v>0</v>
      </c>
      <c r="AT3" s="121">
        <f ca="1">OFFSET('Öğrenci Bilgileri'!$D$4, COLUMN(AO1)-1, 0)</f>
        <v>0</v>
      </c>
    </row>
    <row r="4" spans="1:46" ht="120" customHeight="1" thickTop="1" thickBot="1">
      <c r="A4" s="122" t="s">
        <v>5</v>
      </c>
      <c r="B4" s="123" t="s">
        <v>73</v>
      </c>
      <c r="C4" s="123" t="s">
        <v>74</v>
      </c>
      <c r="D4" s="123" t="s">
        <v>75</v>
      </c>
      <c r="E4" s="123" t="s">
        <v>76</v>
      </c>
      <c r="F4" s="37">
        <v>10</v>
      </c>
      <c r="G4" s="29">
        <v>8</v>
      </c>
      <c r="H4" s="29">
        <v>6</v>
      </c>
      <c r="I4" s="29">
        <v>4</v>
      </c>
      <c r="J4" s="29"/>
      <c r="K4" s="29"/>
      <c r="L4" s="29"/>
      <c r="M4" s="29"/>
      <c r="N4" s="29"/>
      <c r="O4" s="29"/>
      <c r="P4" s="29"/>
      <c r="Q4" s="29"/>
      <c r="R4" s="29"/>
      <c r="S4" s="29"/>
      <c r="T4" s="29"/>
      <c r="U4" s="29"/>
      <c r="V4" s="29"/>
      <c r="W4" s="29"/>
      <c r="X4" s="29"/>
      <c r="Y4" s="29"/>
      <c r="Z4" s="29"/>
      <c r="AA4" s="29"/>
      <c r="AB4" s="29"/>
      <c r="AC4" s="29"/>
      <c r="AD4" s="29"/>
      <c r="AE4" s="29"/>
      <c r="AF4" s="29"/>
      <c r="AG4" s="29"/>
      <c r="AH4" s="29"/>
      <c r="AI4" s="29"/>
      <c r="AJ4" s="29"/>
      <c r="AK4" s="29"/>
      <c r="AL4" s="29"/>
      <c r="AM4" s="29"/>
      <c r="AN4" s="29"/>
      <c r="AO4" s="29"/>
      <c r="AP4" s="29"/>
      <c r="AQ4" s="29"/>
      <c r="AR4" s="29"/>
      <c r="AS4" s="29"/>
      <c r="AT4" s="30"/>
    </row>
    <row r="5" spans="1:46" ht="120" customHeight="1" thickTop="1" thickBot="1">
      <c r="A5" s="127" t="s">
        <v>71</v>
      </c>
      <c r="B5" s="133" t="s">
        <v>77</v>
      </c>
      <c r="C5" s="133" t="s">
        <v>108</v>
      </c>
      <c r="D5" s="133" t="s">
        <v>78</v>
      </c>
      <c r="E5" s="133" t="s">
        <v>109</v>
      </c>
      <c r="F5" s="128">
        <v>10</v>
      </c>
      <c r="G5" s="129">
        <v>8</v>
      </c>
      <c r="H5" s="129">
        <v>6</v>
      </c>
      <c r="I5" s="129">
        <v>4</v>
      </c>
      <c r="J5" s="129"/>
      <c r="K5" s="129"/>
      <c r="L5" s="129"/>
      <c r="M5" s="129"/>
      <c r="N5" s="129"/>
      <c r="O5" s="129"/>
      <c r="P5" s="129"/>
      <c r="Q5" s="129"/>
      <c r="R5" s="129"/>
      <c r="S5" s="129"/>
      <c r="T5" s="129"/>
      <c r="U5" s="129"/>
      <c r="V5" s="129"/>
      <c r="W5" s="129"/>
      <c r="X5" s="129"/>
      <c r="Y5" s="129"/>
      <c r="Z5" s="129"/>
      <c r="AA5" s="129"/>
      <c r="AB5" s="129"/>
      <c r="AC5" s="129"/>
      <c r="AD5" s="129"/>
      <c r="AE5" s="129"/>
      <c r="AF5" s="129"/>
      <c r="AG5" s="129"/>
      <c r="AH5" s="129"/>
      <c r="AI5" s="129"/>
      <c r="AJ5" s="129"/>
      <c r="AK5" s="129"/>
      <c r="AL5" s="129"/>
      <c r="AM5" s="129"/>
      <c r="AN5" s="129"/>
      <c r="AO5" s="129"/>
      <c r="AP5" s="129"/>
      <c r="AQ5" s="129"/>
      <c r="AR5" s="129"/>
      <c r="AS5" s="129"/>
      <c r="AT5" s="130"/>
    </row>
    <row r="6" spans="1:46" ht="120" customHeight="1" thickTop="1" thickBot="1">
      <c r="A6" s="124" t="s">
        <v>2</v>
      </c>
      <c r="B6" s="117" t="s">
        <v>79</v>
      </c>
      <c r="C6" s="117" t="s">
        <v>80</v>
      </c>
      <c r="D6" s="117" t="s">
        <v>81</v>
      </c>
      <c r="E6" s="117" t="s">
        <v>82</v>
      </c>
      <c r="F6" s="37">
        <v>10</v>
      </c>
      <c r="G6" s="29">
        <v>8</v>
      </c>
      <c r="H6" s="29">
        <v>6</v>
      </c>
      <c r="I6" s="29">
        <v>4</v>
      </c>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30"/>
    </row>
    <row r="7" spans="1:46" ht="120" customHeight="1" thickTop="1" thickBot="1">
      <c r="A7" s="124" t="s">
        <v>3</v>
      </c>
      <c r="B7" s="117" t="s">
        <v>79</v>
      </c>
      <c r="C7" s="117" t="s">
        <v>83</v>
      </c>
      <c r="D7" s="117" t="s">
        <v>110</v>
      </c>
      <c r="E7" s="117" t="s">
        <v>111</v>
      </c>
      <c r="F7" s="37">
        <v>10</v>
      </c>
      <c r="G7" s="29">
        <v>8</v>
      </c>
      <c r="H7" s="29">
        <v>6</v>
      </c>
      <c r="I7" s="29">
        <v>4</v>
      </c>
      <c r="J7" s="29"/>
      <c r="K7" s="29"/>
      <c r="L7" s="29"/>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30"/>
    </row>
    <row r="8" spans="1:46" ht="120" customHeight="1" thickTop="1" thickBot="1">
      <c r="A8" s="179" t="s">
        <v>4</v>
      </c>
      <c r="B8" s="134" t="s">
        <v>84</v>
      </c>
      <c r="C8" s="134" t="s">
        <v>88</v>
      </c>
      <c r="D8" s="134" t="s">
        <v>85</v>
      </c>
      <c r="E8" s="134" t="s">
        <v>86</v>
      </c>
      <c r="F8" s="40">
        <v>10</v>
      </c>
      <c r="G8" s="31">
        <v>8</v>
      </c>
      <c r="H8" s="31">
        <v>6</v>
      </c>
      <c r="I8" s="31">
        <v>4</v>
      </c>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2"/>
    </row>
    <row r="9" spans="1:46" ht="120" customHeight="1" thickBot="1">
      <c r="A9" s="180"/>
      <c r="B9" s="131" t="s">
        <v>87</v>
      </c>
      <c r="C9" s="131" t="s">
        <v>112</v>
      </c>
      <c r="D9" s="132" t="s">
        <v>89</v>
      </c>
      <c r="E9" s="131" t="s">
        <v>90</v>
      </c>
      <c r="F9" s="52">
        <v>10</v>
      </c>
      <c r="G9" s="53">
        <v>8</v>
      </c>
      <c r="H9" s="53">
        <v>6</v>
      </c>
      <c r="I9" s="53">
        <v>4</v>
      </c>
      <c r="J9" s="53"/>
      <c r="K9" s="53"/>
      <c r="L9" s="53"/>
      <c r="M9" s="53"/>
      <c r="N9" s="53"/>
      <c r="O9" s="53"/>
      <c r="P9" s="53"/>
      <c r="Q9" s="53"/>
      <c r="R9" s="53"/>
      <c r="S9" s="53"/>
      <c r="T9" s="53"/>
      <c r="U9" s="53"/>
      <c r="V9" s="53"/>
      <c r="W9" s="53"/>
      <c r="X9" s="53"/>
      <c r="Y9" s="53"/>
      <c r="Z9" s="53"/>
      <c r="AA9" s="53"/>
      <c r="AB9" s="53"/>
      <c r="AC9" s="53"/>
      <c r="AD9" s="53"/>
      <c r="AE9" s="53"/>
      <c r="AF9" s="53"/>
      <c r="AG9" s="53"/>
      <c r="AH9" s="53"/>
      <c r="AI9" s="53"/>
      <c r="AJ9" s="53"/>
      <c r="AK9" s="53"/>
      <c r="AL9" s="53"/>
      <c r="AM9" s="53"/>
      <c r="AN9" s="53"/>
      <c r="AO9" s="53"/>
      <c r="AP9" s="53"/>
      <c r="AQ9" s="53"/>
      <c r="AR9" s="53"/>
      <c r="AS9" s="53"/>
      <c r="AT9" s="54"/>
    </row>
    <row r="10" spans="1:46" ht="120" customHeight="1" thickTop="1" thickBot="1">
      <c r="A10" s="181"/>
      <c r="B10" s="131" t="s">
        <v>104</v>
      </c>
      <c r="C10" s="131" t="s">
        <v>107</v>
      </c>
      <c r="D10" s="132" t="s">
        <v>105</v>
      </c>
      <c r="E10" s="131" t="s">
        <v>106</v>
      </c>
      <c r="F10" s="41">
        <v>10</v>
      </c>
      <c r="G10" s="25">
        <v>8</v>
      </c>
      <c r="H10" s="25">
        <v>6</v>
      </c>
      <c r="I10" s="25">
        <v>4</v>
      </c>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6"/>
    </row>
    <row r="11" spans="1:46" ht="120" customHeight="1" thickTop="1" thickBot="1">
      <c r="A11" s="124" t="s">
        <v>68</v>
      </c>
      <c r="B11" s="126" t="s">
        <v>91</v>
      </c>
      <c r="C11" s="126" t="s">
        <v>92</v>
      </c>
      <c r="D11" s="126" t="s">
        <v>93</v>
      </c>
      <c r="E11" s="126" t="s">
        <v>94</v>
      </c>
      <c r="F11" s="48">
        <v>10</v>
      </c>
      <c r="G11" s="29">
        <v>8</v>
      </c>
      <c r="H11" s="29">
        <v>6</v>
      </c>
      <c r="I11" s="29">
        <v>4</v>
      </c>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30"/>
    </row>
    <row r="12" spans="1:46" ht="120" customHeight="1" thickTop="1" thickBot="1">
      <c r="A12" s="124" t="s">
        <v>69</v>
      </c>
      <c r="B12" s="126" t="s">
        <v>96</v>
      </c>
      <c r="C12" s="126" t="s">
        <v>95</v>
      </c>
      <c r="D12" s="126" t="s">
        <v>97</v>
      </c>
      <c r="E12" s="126" t="s">
        <v>98</v>
      </c>
      <c r="F12" s="48">
        <v>10</v>
      </c>
      <c r="G12" s="29">
        <v>8</v>
      </c>
      <c r="H12" s="29">
        <v>6</v>
      </c>
      <c r="I12" s="29">
        <v>4</v>
      </c>
      <c r="J12" s="29"/>
      <c r="K12" s="29"/>
      <c r="L12" s="29"/>
      <c r="M12" s="29"/>
      <c r="N12" s="29"/>
      <c r="O12" s="29"/>
      <c r="P12" s="29"/>
      <c r="Q12" s="29"/>
      <c r="R12" s="29"/>
      <c r="S12" s="29"/>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30"/>
    </row>
    <row r="13" spans="1:46" ht="120" customHeight="1" thickTop="1" thickBot="1">
      <c r="A13" s="124" t="s">
        <v>70</v>
      </c>
      <c r="B13" s="117" t="s">
        <v>100</v>
      </c>
      <c r="C13" s="117" t="s">
        <v>101</v>
      </c>
      <c r="D13" s="135" t="s">
        <v>102</v>
      </c>
      <c r="E13" s="117" t="s">
        <v>103</v>
      </c>
      <c r="F13" s="48">
        <v>10</v>
      </c>
      <c r="G13" s="29">
        <v>8</v>
      </c>
      <c r="H13" s="29">
        <v>6</v>
      </c>
      <c r="I13" s="29">
        <v>4</v>
      </c>
      <c r="J13" s="29"/>
      <c r="K13" s="29"/>
      <c r="L13" s="29"/>
      <c r="M13" s="29"/>
      <c r="N13" s="29"/>
      <c r="O13" s="29"/>
      <c r="P13" s="29"/>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30"/>
    </row>
    <row r="14" spans="1:46" ht="49.5" customHeight="1" thickTop="1" thickBot="1">
      <c r="A14" s="178" t="s">
        <v>13</v>
      </c>
      <c r="B14" s="178"/>
      <c r="C14" s="178"/>
      <c r="D14" s="178"/>
      <c r="E14" s="178"/>
      <c r="F14" s="42">
        <f t="shared" ref="F14:AT14" si="0">SUM(F4:F13)</f>
        <v>100</v>
      </c>
      <c r="G14" s="27">
        <f t="shared" si="0"/>
        <v>80</v>
      </c>
      <c r="H14" s="27">
        <f t="shared" si="0"/>
        <v>60</v>
      </c>
      <c r="I14" s="27">
        <f t="shared" si="0"/>
        <v>40</v>
      </c>
      <c r="J14" s="27">
        <f t="shared" si="0"/>
        <v>0</v>
      </c>
      <c r="K14" s="27">
        <f t="shared" si="0"/>
        <v>0</v>
      </c>
      <c r="L14" s="27">
        <f t="shared" si="0"/>
        <v>0</v>
      </c>
      <c r="M14" s="27">
        <f t="shared" si="0"/>
        <v>0</v>
      </c>
      <c r="N14" s="27">
        <f t="shared" si="0"/>
        <v>0</v>
      </c>
      <c r="O14" s="27">
        <f t="shared" si="0"/>
        <v>0</v>
      </c>
      <c r="P14" s="27">
        <f t="shared" si="0"/>
        <v>0</v>
      </c>
      <c r="Q14" s="27">
        <f t="shared" si="0"/>
        <v>0</v>
      </c>
      <c r="R14" s="27">
        <f t="shared" si="0"/>
        <v>0</v>
      </c>
      <c r="S14" s="27">
        <f t="shared" si="0"/>
        <v>0</v>
      </c>
      <c r="T14" s="27">
        <f t="shared" si="0"/>
        <v>0</v>
      </c>
      <c r="U14" s="27">
        <f t="shared" si="0"/>
        <v>0</v>
      </c>
      <c r="V14" s="27">
        <f t="shared" si="0"/>
        <v>0</v>
      </c>
      <c r="W14" s="27">
        <f t="shared" si="0"/>
        <v>0</v>
      </c>
      <c r="X14" s="27">
        <f t="shared" si="0"/>
        <v>0</v>
      </c>
      <c r="Y14" s="27">
        <f t="shared" si="0"/>
        <v>0</v>
      </c>
      <c r="Z14" s="27">
        <f t="shared" si="0"/>
        <v>0</v>
      </c>
      <c r="AA14" s="27">
        <f t="shared" si="0"/>
        <v>0</v>
      </c>
      <c r="AB14" s="27">
        <f t="shared" si="0"/>
        <v>0</v>
      </c>
      <c r="AC14" s="27">
        <f t="shared" si="0"/>
        <v>0</v>
      </c>
      <c r="AD14" s="27">
        <f t="shared" si="0"/>
        <v>0</v>
      </c>
      <c r="AE14" s="27">
        <f t="shared" si="0"/>
        <v>0</v>
      </c>
      <c r="AF14" s="27">
        <f t="shared" si="0"/>
        <v>0</v>
      </c>
      <c r="AG14" s="27">
        <f t="shared" si="0"/>
        <v>0</v>
      </c>
      <c r="AH14" s="27">
        <f t="shared" si="0"/>
        <v>0</v>
      </c>
      <c r="AI14" s="27">
        <f t="shared" si="0"/>
        <v>0</v>
      </c>
      <c r="AJ14" s="27">
        <f t="shared" si="0"/>
        <v>0</v>
      </c>
      <c r="AK14" s="27">
        <f t="shared" si="0"/>
        <v>0</v>
      </c>
      <c r="AL14" s="27">
        <f t="shared" si="0"/>
        <v>0</v>
      </c>
      <c r="AM14" s="27">
        <f t="shared" si="0"/>
        <v>0</v>
      </c>
      <c r="AN14" s="27">
        <f t="shared" si="0"/>
        <v>0</v>
      </c>
      <c r="AO14" s="27">
        <f t="shared" si="0"/>
        <v>0</v>
      </c>
      <c r="AP14" s="27">
        <f t="shared" si="0"/>
        <v>0</v>
      </c>
      <c r="AQ14" s="27">
        <f t="shared" si="0"/>
        <v>0</v>
      </c>
      <c r="AR14" s="27">
        <f t="shared" si="0"/>
        <v>0</v>
      </c>
      <c r="AS14" s="27">
        <f t="shared" si="0"/>
        <v>0</v>
      </c>
      <c r="AT14" s="28">
        <f t="shared" si="0"/>
        <v>0</v>
      </c>
    </row>
    <row r="15" spans="1:46" ht="30.75" customHeight="1" thickTop="1">
      <c r="A15" s="119" t="s">
        <v>72</v>
      </c>
      <c r="B15" s="120"/>
      <c r="C15" s="120"/>
      <c r="D15" s="120"/>
      <c r="E15" s="120"/>
    </row>
    <row r="16" spans="1:46" ht="25.5" customHeight="1">
      <c r="AK16" s="174" t="s">
        <v>113</v>
      </c>
      <c r="AL16" s="174"/>
      <c r="AM16" s="174"/>
      <c r="AN16" s="174"/>
      <c r="AO16" s="174"/>
      <c r="AP16" s="174"/>
      <c r="AQ16" s="174"/>
      <c r="AR16" s="174"/>
      <c r="AS16" s="174"/>
      <c r="AT16" s="174"/>
    </row>
    <row r="17" spans="37:46" ht="14.25" customHeight="1"/>
    <row r="18" spans="37:46" ht="14.25" customHeight="1"/>
    <row r="19" spans="37:46" ht="14.25" customHeight="1"/>
    <row r="20" spans="37:46" ht="23.25" customHeight="1">
      <c r="AK20" s="173" t="s">
        <v>225</v>
      </c>
      <c r="AL20" s="173"/>
      <c r="AM20" s="173"/>
      <c r="AN20" s="173"/>
      <c r="AO20" s="173"/>
      <c r="AP20" s="173"/>
      <c r="AQ20" s="173"/>
      <c r="AR20" s="173"/>
      <c r="AS20" s="173"/>
      <c r="AT20" s="173"/>
    </row>
    <row r="21" spans="37:46" ht="19.5" customHeight="1">
      <c r="AK21" s="173" t="s">
        <v>39</v>
      </c>
      <c r="AL21" s="173"/>
      <c r="AM21" s="173"/>
      <c r="AN21" s="173"/>
      <c r="AO21" s="173"/>
      <c r="AP21" s="173"/>
      <c r="AQ21" s="173"/>
      <c r="AR21" s="173"/>
      <c r="AS21" s="173"/>
      <c r="AT21" s="173"/>
    </row>
    <row r="22" spans="37:46" ht="14.25" customHeight="1"/>
    <row r="23" spans="37:46" ht="14.25" customHeight="1"/>
    <row r="24" spans="37:46" ht="14.25" customHeight="1"/>
    <row r="25" spans="37:46" ht="14.25" customHeight="1"/>
    <row r="26" spans="37:46" ht="14.25" customHeight="1"/>
    <row r="27" spans="37:46" ht="14.25" customHeight="1"/>
    <row r="28" spans="37:46" ht="14.25" customHeight="1"/>
    <row r="29" spans="37:46" ht="14.25" customHeight="1"/>
    <row r="30" spans="37:46" ht="14.25" customHeight="1"/>
    <row r="31" spans="37:46" ht="14.25" customHeight="1"/>
    <row r="32" spans="37:46"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sheetData>
  <mergeCells count="7">
    <mergeCell ref="A1:AT1"/>
    <mergeCell ref="AK20:AT20"/>
    <mergeCell ref="AK21:AT21"/>
    <mergeCell ref="AK16:AT16"/>
    <mergeCell ref="A2:AT2"/>
    <mergeCell ref="A14:E14"/>
    <mergeCell ref="A8:A10"/>
  </mergeCells>
  <pageMargins left="0.59055118110236227" right="0.39370078740157483" top="0.55118110236220474" bottom="0" header="0" footer="0"/>
  <pageSetup scale="3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pageSetUpPr fitToPage="1"/>
  </sheetPr>
  <dimension ref="A1:AT992"/>
  <sheetViews>
    <sheetView showGridLines="0" topLeftCell="A8" zoomScale="42" zoomScaleNormal="42" workbookViewId="0">
      <selection activeCell="I14" sqref="I14"/>
    </sheetView>
  </sheetViews>
  <sheetFormatPr defaultColWidth="12.625" defaultRowHeight="15" customHeight="1"/>
  <cols>
    <col min="1" max="5" width="30.625" customWidth="1"/>
    <col min="6" max="45" width="5.625" customWidth="1"/>
  </cols>
  <sheetData>
    <row r="1" spans="1:46" ht="58.5" customHeight="1" thickBot="1">
      <c r="A1" s="172" t="s">
        <v>237</v>
      </c>
      <c r="B1" s="172"/>
      <c r="C1" s="172"/>
      <c r="D1" s="172"/>
      <c r="E1" s="172"/>
      <c r="F1" s="172"/>
      <c r="G1" s="172"/>
      <c r="H1" s="172"/>
      <c r="I1" s="172"/>
      <c r="J1" s="172"/>
      <c r="K1" s="172"/>
      <c r="L1" s="172"/>
      <c r="M1" s="172"/>
      <c r="N1" s="172"/>
      <c r="O1" s="172"/>
      <c r="P1" s="172"/>
      <c r="Q1" s="172"/>
      <c r="R1" s="172"/>
      <c r="S1" s="172"/>
      <c r="T1" s="172"/>
      <c r="U1" s="172"/>
      <c r="V1" s="172"/>
      <c r="W1" s="172"/>
      <c r="X1" s="172"/>
      <c r="Y1" s="172"/>
      <c r="Z1" s="172"/>
      <c r="AA1" s="172"/>
      <c r="AB1" s="172"/>
      <c r="AC1" s="172"/>
      <c r="AD1" s="172"/>
      <c r="AE1" s="172"/>
      <c r="AF1" s="172"/>
      <c r="AG1" s="172"/>
      <c r="AH1" s="172"/>
      <c r="AI1" s="172"/>
      <c r="AJ1" s="172"/>
      <c r="AK1" s="172"/>
      <c r="AL1" s="172"/>
      <c r="AM1" s="172"/>
      <c r="AN1" s="172"/>
      <c r="AO1" s="172"/>
      <c r="AP1" s="172"/>
      <c r="AQ1" s="172"/>
      <c r="AR1" s="172"/>
      <c r="AS1" s="172"/>
      <c r="AT1" s="49"/>
    </row>
    <row r="2" spans="1:46" ht="40.5" customHeight="1" thickTop="1" thickBot="1">
      <c r="A2" s="175" t="s">
        <v>152</v>
      </c>
      <c r="B2" s="176"/>
      <c r="C2" s="176"/>
      <c r="D2" s="176"/>
      <c r="E2" s="176"/>
      <c r="F2" s="176"/>
      <c r="G2" s="176"/>
      <c r="H2" s="176"/>
      <c r="I2" s="176"/>
      <c r="J2" s="176"/>
      <c r="K2" s="176"/>
      <c r="L2" s="176"/>
      <c r="M2" s="176"/>
      <c r="N2" s="176"/>
      <c r="O2" s="176"/>
      <c r="P2" s="176"/>
      <c r="Q2" s="176"/>
      <c r="R2" s="176"/>
      <c r="S2" s="176"/>
      <c r="T2" s="176"/>
      <c r="U2" s="176"/>
      <c r="V2" s="176"/>
      <c r="W2" s="176"/>
      <c r="X2" s="176"/>
      <c r="Y2" s="176"/>
      <c r="Z2" s="176"/>
      <c r="AA2" s="176"/>
      <c r="AB2" s="176"/>
      <c r="AC2" s="176"/>
      <c r="AD2" s="176"/>
      <c r="AE2" s="176"/>
      <c r="AF2" s="176"/>
      <c r="AG2" s="176"/>
      <c r="AH2" s="176"/>
      <c r="AI2" s="176"/>
      <c r="AJ2" s="176"/>
      <c r="AK2" s="176"/>
      <c r="AL2" s="176"/>
      <c r="AM2" s="176"/>
      <c r="AN2" s="176"/>
      <c r="AO2" s="176"/>
      <c r="AP2" s="176"/>
      <c r="AQ2" s="176"/>
      <c r="AR2" s="176"/>
      <c r="AS2" s="177"/>
    </row>
    <row r="3" spans="1:46" ht="215.1" customHeight="1" thickTop="1" thickBot="1">
      <c r="A3" s="124" t="s">
        <v>45</v>
      </c>
      <c r="B3" s="125" t="s">
        <v>64</v>
      </c>
      <c r="C3" s="125" t="s">
        <v>65</v>
      </c>
      <c r="D3" s="125" t="s">
        <v>66</v>
      </c>
      <c r="E3" s="125" t="s">
        <v>67</v>
      </c>
      <c r="F3" s="159" t="str">
        <f ca="1">OFFSET('Öğrenci Bilgileri'!$D$4, COLUMN(A1)-1, 0)</f>
        <v>EKREM YEKREK</v>
      </c>
      <c r="G3" s="159" t="str">
        <f ca="1">OFFSET('Öğrenci Bilgileri'!$D$4, COLUMN(B1)-1, 0)</f>
        <v>SAMİ İL</v>
      </c>
      <c r="H3" s="159" t="str">
        <f ca="1">OFFSET('Öğrenci Bilgileri'!$D$4, COLUMN(C1)-1, 0)</f>
        <v>AHMET ÖZBAHAR</v>
      </c>
      <c r="I3" s="159" t="str">
        <f ca="1">OFFSET('Öğrenci Bilgileri'!$D$4, COLUMN(D1)-1, 0)</f>
        <v>FATMA ŞENGÜL</v>
      </c>
      <c r="J3" s="159" t="str">
        <f ca="1">OFFSET('Öğrenci Bilgileri'!$D$4, COLUMN(E1)-1, 0)</f>
        <v>GÖNÜL KORKUT</v>
      </c>
      <c r="K3" s="159" t="str">
        <f ca="1">OFFSET('Öğrenci Bilgileri'!$D$4, COLUMN(F1)-1, 0)</f>
        <v>MEHMET TANER</v>
      </c>
      <c r="L3" s="159" t="str">
        <f ca="1">OFFSET('Öğrenci Bilgileri'!$D$4, COLUMN(G1)-1, 0)</f>
        <v>HARUN DERİN</v>
      </c>
      <c r="M3" s="159" t="str">
        <f ca="1">OFFSET('Öğrenci Bilgileri'!$D$4, COLUMN(H1)-1, 0)</f>
        <v>MERVE KAMALAK</v>
      </c>
      <c r="N3" s="159" t="str">
        <f ca="1">OFFSET('Öğrenci Bilgileri'!$D$4, COLUMN(I1)-1, 0)</f>
        <v>ÜMRAN AYKIŞ</v>
      </c>
      <c r="O3" s="159" t="str">
        <f ca="1">OFFSET('Öğrenci Bilgileri'!$D$4, COLUMN(J1)-1, 0)</f>
        <v>IŞIL ÖZLER</v>
      </c>
      <c r="P3" s="159">
        <f ca="1">OFFSET('Öğrenci Bilgileri'!$D$4, COLUMN(K1)-1, 0)</f>
        <v>0</v>
      </c>
      <c r="Q3" s="159">
        <f ca="1">OFFSET('Öğrenci Bilgileri'!$D$4, COLUMN(L1)-1, 0)</f>
        <v>0</v>
      </c>
      <c r="R3" s="159">
        <f ca="1">OFFSET('Öğrenci Bilgileri'!$D$4, COLUMN(M1)-1, 0)</f>
        <v>0</v>
      </c>
      <c r="S3" s="159">
        <f ca="1">OFFSET('Öğrenci Bilgileri'!$D$4, COLUMN(N1)-1, 0)</f>
        <v>0</v>
      </c>
      <c r="T3" s="159">
        <f ca="1">OFFSET('Öğrenci Bilgileri'!$D$4, COLUMN(O1)-1, 0)</f>
        <v>0</v>
      </c>
      <c r="U3" s="159">
        <f ca="1">OFFSET('Öğrenci Bilgileri'!$D$4, COLUMN(P1)-1, 0)</f>
        <v>0</v>
      </c>
      <c r="V3" s="159">
        <f ca="1">OFFSET('Öğrenci Bilgileri'!$D$4, COLUMN(Q1)-1, 0)</f>
        <v>0</v>
      </c>
      <c r="W3" s="159">
        <f ca="1">OFFSET('Öğrenci Bilgileri'!$D$4, COLUMN(R1)-1, 0)</f>
        <v>0</v>
      </c>
      <c r="X3" s="159">
        <f ca="1">OFFSET('Öğrenci Bilgileri'!$D$4, COLUMN(S1)-1, 0)</f>
        <v>0</v>
      </c>
      <c r="Y3" s="159">
        <f ca="1">OFFSET('Öğrenci Bilgileri'!$D$4, COLUMN(T1)-1, 0)</f>
        <v>0</v>
      </c>
      <c r="Z3" s="159">
        <f ca="1">OFFSET('Öğrenci Bilgileri'!$D$4, COLUMN(U1)-1, 0)</f>
        <v>0</v>
      </c>
      <c r="AA3" s="159">
        <f ca="1">OFFSET('Öğrenci Bilgileri'!$D$4, COLUMN(V1)-1, 0)</f>
        <v>0</v>
      </c>
      <c r="AB3" s="159">
        <f ca="1">OFFSET('Öğrenci Bilgileri'!$D$4, COLUMN(W1)-1, 0)</f>
        <v>0</v>
      </c>
      <c r="AC3" s="159">
        <f ca="1">OFFSET('Öğrenci Bilgileri'!$D$4, COLUMN(X1)-1, 0)</f>
        <v>0</v>
      </c>
      <c r="AD3" s="159">
        <f ca="1">OFFSET('Öğrenci Bilgileri'!$D$4, COLUMN(Y1)-1, 0)</f>
        <v>0</v>
      </c>
      <c r="AE3" s="159">
        <f ca="1">OFFSET('Öğrenci Bilgileri'!$D$4, COLUMN(Z1)-1, 0)</f>
        <v>0</v>
      </c>
      <c r="AF3" s="159">
        <f ca="1">OFFSET('Öğrenci Bilgileri'!$D$4, COLUMN(AA1)-1, 0)</f>
        <v>0</v>
      </c>
      <c r="AG3" s="159">
        <f ca="1">OFFSET('Öğrenci Bilgileri'!$D$4, COLUMN(AB1)-1, 0)</f>
        <v>0</v>
      </c>
      <c r="AH3" s="159">
        <f ca="1">OFFSET('Öğrenci Bilgileri'!$D$4, COLUMN(AC1)-1, 0)</f>
        <v>0</v>
      </c>
      <c r="AI3" s="159">
        <f ca="1">OFFSET('Öğrenci Bilgileri'!$D$4, COLUMN(AD1)-1, 0)</f>
        <v>0</v>
      </c>
      <c r="AJ3" s="159">
        <f ca="1">OFFSET('Öğrenci Bilgileri'!$D$4, COLUMN(AE1)-1, 0)</f>
        <v>0</v>
      </c>
      <c r="AK3" s="159">
        <f ca="1">OFFSET('Öğrenci Bilgileri'!$D$4, COLUMN(AF1)-1, 0)</f>
        <v>0</v>
      </c>
      <c r="AL3" s="159">
        <f ca="1">OFFSET('Öğrenci Bilgileri'!$D$4, COLUMN(AG1)-1, 0)</f>
        <v>0</v>
      </c>
      <c r="AM3" s="159">
        <f ca="1">OFFSET('Öğrenci Bilgileri'!$D$4, COLUMN(AH1)-1, 0)</f>
        <v>0</v>
      </c>
      <c r="AN3" s="159">
        <f ca="1">OFFSET('Öğrenci Bilgileri'!$D$4, COLUMN(AI1)-1, 0)</f>
        <v>0</v>
      </c>
      <c r="AO3" s="159">
        <f ca="1">OFFSET('Öğrenci Bilgileri'!$D$4, COLUMN(AJ1)-1, 0)</f>
        <v>0</v>
      </c>
      <c r="AP3" s="159">
        <f ca="1">OFFSET('Öğrenci Bilgileri'!$D$4, COLUMN(AK1)-1, 0)</f>
        <v>0</v>
      </c>
      <c r="AQ3" s="159">
        <f ca="1">OFFSET('Öğrenci Bilgileri'!$D$4, COLUMN(AL1)-1, 0)</f>
        <v>0</v>
      </c>
      <c r="AR3" s="159">
        <f ca="1">OFFSET('Öğrenci Bilgileri'!$D$4, COLUMN(AM1)-1, 0)</f>
        <v>0</v>
      </c>
      <c r="AS3" s="159">
        <f ca="1">OFFSET('Öğrenci Bilgileri'!$D$4, COLUMN(AN1)-1, 0)</f>
        <v>0</v>
      </c>
    </row>
    <row r="4" spans="1:46" ht="120" customHeight="1" thickTop="1" thickBot="1">
      <c r="A4" s="136" t="s">
        <v>0</v>
      </c>
      <c r="B4" s="118" t="s">
        <v>114</v>
      </c>
      <c r="C4" s="118" t="s">
        <v>117</v>
      </c>
      <c r="D4" s="47" t="s">
        <v>115</v>
      </c>
      <c r="E4" s="47" t="s">
        <v>116</v>
      </c>
      <c r="F4" s="48">
        <v>10</v>
      </c>
      <c r="G4" s="29">
        <v>8</v>
      </c>
      <c r="H4" s="29">
        <v>4</v>
      </c>
      <c r="I4" s="29">
        <v>6</v>
      </c>
      <c r="J4" s="29"/>
      <c r="K4" s="29"/>
      <c r="L4" s="29"/>
      <c r="M4" s="29"/>
      <c r="N4" s="29"/>
      <c r="O4" s="29"/>
      <c r="P4" s="29"/>
      <c r="Q4" s="29"/>
      <c r="R4" s="29"/>
      <c r="S4" s="29"/>
      <c r="T4" s="29"/>
      <c r="U4" s="29"/>
      <c r="V4" s="29"/>
      <c r="W4" s="29"/>
      <c r="X4" s="29"/>
      <c r="Y4" s="29"/>
      <c r="Z4" s="29"/>
      <c r="AA4" s="29"/>
      <c r="AB4" s="29"/>
      <c r="AC4" s="29"/>
      <c r="AD4" s="29"/>
      <c r="AE4" s="29"/>
      <c r="AF4" s="29"/>
      <c r="AG4" s="29"/>
      <c r="AH4" s="29"/>
      <c r="AI4" s="29"/>
      <c r="AJ4" s="29"/>
      <c r="AK4" s="29"/>
      <c r="AL4" s="29"/>
      <c r="AM4" s="29"/>
      <c r="AN4" s="29"/>
      <c r="AO4" s="29"/>
      <c r="AP4" s="29"/>
      <c r="AQ4" s="29"/>
      <c r="AR4" s="29"/>
      <c r="AS4" s="30"/>
    </row>
    <row r="5" spans="1:46" ht="120" customHeight="1" thickTop="1" thickBot="1">
      <c r="A5" s="136" t="s">
        <v>1</v>
      </c>
      <c r="B5" s="118" t="s">
        <v>118</v>
      </c>
      <c r="C5" s="118" t="s">
        <v>119</v>
      </c>
      <c r="D5" s="47" t="s">
        <v>120</v>
      </c>
      <c r="E5" s="47" t="s">
        <v>121</v>
      </c>
      <c r="F5" s="48">
        <v>10</v>
      </c>
      <c r="G5" s="29">
        <v>8</v>
      </c>
      <c r="H5" s="29">
        <v>4</v>
      </c>
      <c r="I5" s="29">
        <v>6</v>
      </c>
      <c r="J5" s="29"/>
      <c r="K5" s="29"/>
      <c r="L5" s="29"/>
      <c r="M5" s="29"/>
      <c r="N5" s="29"/>
      <c r="O5" s="29"/>
      <c r="P5" s="29"/>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30"/>
    </row>
    <row r="6" spans="1:46" ht="120" customHeight="1" thickTop="1" thickBot="1">
      <c r="A6" s="136" t="s">
        <v>2</v>
      </c>
      <c r="B6" s="126" t="s">
        <v>122</v>
      </c>
      <c r="C6" s="126" t="s">
        <v>123</v>
      </c>
      <c r="D6" s="148" t="s">
        <v>124</v>
      </c>
      <c r="E6" s="148" t="s">
        <v>125</v>
      </c>
      <c r="F6" s="48">
        <v>10</v>
      </c>
      <c r="G6" s="29">
        <v>8</v>
      </c>
      <c r="H6" s="29">
        <v>4</v>
      </c>
      <c r="I6" s="29">
        <v>6</v>
      </c>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30"/>
    </row>
    <row r="7" spans="1:46" ht="120" customHeight="1" thickTop="1" thickBot="1">
      <c r="A7" s="136" t="s">
        <v>4</v>
      </c>
      <c r="B7" s="126" t="s">
        <v>126</v>
      </c>
      <c r="C7" s="126" t="s">
        <v>127</v>
      </c>
      <c r="D7" s="148" t="s">
        <v>128</v>
      </c>
      <c r="E7" s="148" t="s">
        <v>129</v>
      </c>
      <c r="F7" s="48">
        <v>10</v>
      </c>
      <c r="G7" s="29">
        <v>8</v>
      </c>
      <c r="H7" s="29">
        <v>4</v>
      </c>
      <c r="I7" s="29">
        <v>6</v>
      </c>
      <c r="J7" s="29"/>
      <c r="K7" s="29"/>
      <c r="L7" s="29"/>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30"/>
    </row>
    <row r="8" spans="1:46" ht="120" customHeight="1" thickTop="1" thickBot="1">
      <c r="A8" s="136" t="s">
        <v>6</v>
      </c>
      <c r="B8" s="126" t="s">
        <v>130</v>
      </c>
      <c r="C8" s="126" t="s">
        <v>131</v>
      </c>
      <c r="D8" s="148" t="s">
        <v>132</v>
      </c>
      <c r="E8" s="148" t="s">
        <v>133</v>
      </c>
      <c r="F8" s="48">
        <v>10</v>
      </c>
      <c r="G8" s="29">
        <v>8</v>
      </c>
      <c r="H8" s="29">
        <v>4</v>
      </c>
      <c r="I8" s="29">
        <v>6</v>
      </c>
      <c r="J8" s="29"/>
      <c r="K8" s="29"/>
      <c r="L8" s="29"/>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30"/>
    </row>
    <row r="9" spans="1:46" ht="120" customHeight="1" thickTop="1" thickBot="1">
      <c r="A9" s="136" t="s">
        <v>8</v>
      </c>
      <c r="B9" s="147" t="s">
        <v>134</v>
      </c>
      <c r="C9" s="147" t="s">
        <v>135</v>
      </c>
      <c r="D9" s="47" t="s">
        <v>136</v>
      </c>
      <c r="E9" s="47" t="s">
        <v>137</v>
      </c>
      <c r="F9" s="48">
        <v>10</v>
      </c>
      <c r="G9" s="29">
        <v>8</v>
      </c>
      <c r="H9" s="29">
        <v>4</v>
      </c>
      <c r="I9" s="29">
        <v>6</v>
      </c>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30"/>
    </row>
    <row r="10" spans="1:46" ht="120" customHeight="1" thickTop="1" thickBot="1">
      <c r="A10" s="136" t="s">
        <v>11</v>
      </c>
      <c r="B10" s="147" t="s">
        <v>138</v>
      </c>
      <c r="C10" s="147" t="s">
        <v>139</v>
      </c>
      <c r="D10" s="47" t="s">
        <v>140</v>
      </c>
      <c r="E10" s="47" t="s">
        <v>141</v>
      </c>
      <c r="F10" s="48">
        <v>10</v>
      </c>
      <c r="G10" s="29">
        <v>8</v>
      </c>
      <c r="H10" s="29">
        <v>4</v>
      </c>
      <c r="I10" s="29">
        <v>6</v>
      </c>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30"/>
    </row>
    <row r="11" spans="1:46" ht="120" customHeight="1" thickTop="1" thickBot="1">
      <c r="A11" s="182" t="s">
        <v>14</v>
      </c>
      <c r="B11" s="134" t="s">
        <v>142</v>
      </c>
      <c r="C11" s="134" t="s">
        <v>145</v>
      </c>
      <c r="D11" s="150" t="s">
        <v>143</v>
      </c>
      <c r="E11" s="150" t="s">
        <v>144</v>
      </c>
      <c r="F11" s="137">
        <v>10</v>
      </c>
      <c r="G11" s="138">
        <v>8</v>
      </c>
      <c r="H11" s="138">
        <v>4</v>
      </c>
      <c r="I11" s="138">
        <v>6</v>
      </c>
      <c r="J11" s="138"/>
      <c r="K11" s="138"/>
      <c r="L11" s="138"/>
      <c r="M11" s="138"/>
      <c r="N11" s="138"/>
      <c r="O11" s="138"/>
      <c r="P11" s="138"/>
      <c r="Q11" s="138"/>
      <c r="R11" s="138"/>
      <c r="S11" s="138"/>
      <c r="T11" s="138"/>
      <c r="U11" s="138"/>
      <c r="V11" s="138"/>
      <c r="W11" s="138"/>
      <c r="X11" s="138"/>
      <c r="Y11" s="138"/>
      <c r="Z11" s="138"/>
      <c r="AA11" s="138"/>
      <c r="AB11" s="138"/>
      <c r="AC11" s="138"/>
      <c r="AD11" s="138"/>
      <c r="AE11" s="138"/>
      <c r="AF11" s="138"/>
      <c r="AG11" s="138"/>
      <c r="AH11" s="138"/>
      <c r="AI11" s="138"/>
      <c r="AJ11" s="138"/>
      <c r="AK11" s="138"/>
      <c r="AL11" s="138"/>
      <c r="AM11" s="138"/>
      <c r="AN11" s="138"/>
      <c r="AO11" s="138"/>
      <c r="AP11" s="138"/>
      <c r="AQ11" s="138"/>
      <c r="AR11" s="138"/>
      <c r="AS11" s="139"/>
    </row>
    <row r="12" spans="1:46" ht="120" customHeight="1" thickTop="1" thickBot="1">
      <c r="A12" s="182"/>
      <c r="B12" s="151" t="s">
        <v>122</v>
      </c>
      <c r="C12" s="151" t="s">
        <v>123</v>
      </c>
      <c r="D12" s="152" t="s">
        <v>146</v>
      </c>
      <c r="E12" s="152" t="s">
        <v>147</v>
      </c>
      <c r="F12" s="140">
        <v>10</v>
      </c>
      <c r="G12" s="141">
        <v>8</v>
      </c>
      <c r="H12" s="141">
        <v>4</v>
      </c>
      <c r="I12" s="141">
        <v>6</v>
      </c>
      <c r="J12" s="141"/>
      <c r="K12" s="141"/>
      <c r="L12" s="141"/>
      <c r="M12" s="141"/>
      <c r="N12" s="141"/>
      <c r="O12" s="141"/>
      <c r="P12" s="141"/>
      <c r="Q12" s="141"/>
      <c r="R12" s="141"/>
      <c r="S12" s="141"/>
      <c r="T12" s="141"/>
      <c r="U12" s="141"/>
      <c r="V12" s="141"/>
      <c r="W12" s="141"/>
      <c r="X12" s="141"/>
      <c r="Y12" s="141"/>
      <c r="Z12" s="141"/>
      <c r="AA12" s="141"/>
      <c r="AB12" s="141"/>
      <c r="AC12" s="141"/>
      <c r="AD12" s="141"/>
      <c r="AE12" s="141"/>
      <c r="AF12" s="141"/>
      <c r="AG12" s="141"/>
      <c r="AH12" s="141"/>
      <c r="AI12" s="141"/>
      <c r="AJ12" s="141"/>
      <c r="AK12" s="141"/>
      <c r="AL12" s="141"/>
      <c r="AM12" s="141"/>
      <c r="AN12" s="141"/>
      <c r="AO12" s="141"/>
      <c r="AP12" s="141"/>
      <c r="AQ12" s="141"/>
      <c r="AR12" s="141"/>
      <c r="AS12" s="142"/>
    </row>
    <row r="13" spans="1:46" ht="120" customHeight="1" thickTop="1" thickBot="1">
      <c r="A13" s="182"/>
      <c r="B13" s="153" t="s">
        <v>148</v>
      </c>
      <c r="C13" s="153" t="s">
        <v>149</v>
      </c>
      <c r="D13" s="149" t="s">
        <v>150</v>
      </c>
      <c r="E13" s="149" t="s">
        <v>151</v>
      </c>
      <c r="F13" s="143">
        <v>10</v>
      </c>
      <c r="G13" s="144">
        <v>8</v>
      </c>
      <c r="H13" s="144">
        <v>4</v>
      </c>
      <c r="I13" s="144">
        <v>6</v>
      </c>
      <c r="J13" s="144"/>
      <c r="K13" s="144"/>
      <c r="L13" s="144"/>
      <c r="M13" s="144"/>
      <c r="N13" s="144"/>
      <c r="O13" s="144"/>
      <c r="P13" s="144"/>
      <c r="Q13" s="144"/>
      <c r="R13" s="144"/>
      <c r="S13" s="144"/>
      <c r="T13" s="144"/>
      <c r="U13" s="144"/>
      <c r="V13" s="144"/>
      <c r="W13" s="144"/>
      <c r="X13" s="144"/>
      <c r="Y13" s="144"/>
      <c r="Z13" s="144"/>
      <c r="AA13" s="144"/>
      <c r="AB13" s="144"/>
      <c r="AC13" s="144"/>
      <c r="AD13" s="144"/>
      <c r="AE13" s="144"/>
      <c r="AF13" s="144"/>
      <c r="AG13" s="144"/>
      <c r="AH13" s="144"/>
      <c r="AI13" s="144"/>
      <c r="AJ13" s="144"/>
      <c r="AK13" s="144"/>
      <c r="AL13" s="144"/>
      <c r="AM13" s="144"/>
      <c r="AN13" s="144"/>
      <c r="AO13" s="144"/>
      <c r="AP13" s="144"/>
      <c r="AQ13" s="144"/>
      <c r="AR13" s="144"/>
      <c r="AS13" s="145"/>
    </row>
    <row r="14" spans="1:46" ht="49.5" customHeight="1" thickTop="1" thickBot="1">
      <c r="A14" s="183" t="s">
        <v>13</v>
      </c>
      <c r="B14" s="184"/>
      <c r="C14" s="184"/>
      <c r="D14" s="184"/>
      <c r="E14" s="185"/>
      <c r="F14" s="44">
        <f t="shared" ref="F14:AS14" si="0">SUM(F4:F13)</f>
        <v>100</v>
      </c>
      <c r="G14" s="45">
        <f t="shared" si="0"/>
        <v>80</v>
      </c>
      <c r="H14" s="45">
        <f t="shared" si="0"/>
        <v>40</v>
      </c>
      <c r="I14" s="45">
        <f t="shared" si="0"/>
        <v>60</v>
      </c>
      <c r="J14" s="45">
        <f t="shared" si="0"/>
        <v>0</v>
      </c>
      <c r="K14" s="45">
        <f t="shared" si="0"/>
        <v>0</v>
      </c>
      <c r="L14" s="45">
        <f t="shared" si="0"/>
        <v>0</v>
      </c>
      <c r="M14" s="45">
        <f t="shared" si="0"/>
        <v>0</v>
      </c>
      <c r="N14" s="45">
        <f t="shared" si="0"/>
        <v>0</v>
      </c>
      <c r="O14" s="45">
        <f t="shared" si="0"/>
        <v>0</v>
      </c>
      <c r="P14" s="45">
        <f t="shared" si="0"/>
        <v>0</v>
      </c>
      <c r="Q14" s="45">
        <f t="shared" si="0"/>
        <v>0</v>
      </c>
      <c r="R14" s="45">
        <f t="shared" si="0"/>
        <v>0</v>
      </c>
      <c r="S14" s="45">
        <f t="shared" si="0"/>
        <v>0</v>
      </c>
      <c r="T14" s="45">
        <f t="shared" si="0"/>
        <v>0</v>
      </c>
      <c r="U14" s="45">
        <f t="shared" si="0"/>
        <v>0</v>
      </c>
      <c r="V14" s="45">
        <f t="shared" si="0"/>
        <v>0</v>
      </c>
      <c r="W14" s="45">
        <f t="shared" si="0"/>
        <v>0</v>
      </c>
      <c r="X14" s="45">
        <f t="shared" si="0"/>
        <v>0</v>
      </c>
      <c r="Y14" s="45">
        <f t="shared" si="0"/>
        <v>0</v>
      </c>
      <c r="Z14" s="45">
        <f t="shared" si="0"/>
        <v>0</v>
      </c>
      <c r="AA14" s="45">
        <f t="shared" si="0"/>
        <v>0</v>
      </c>
      <c r="AB14" s="45">
        <f t="shared" si="0"/>
        <v>0</v>
      </c>
      <c r="AC14" s="45">
        <f t="shared" si="0"/>
        <v>0</v>
      </c>
      <c r="AD14" s="45">
        <f t="shared" si="0"/>
        <v>0</v>
      </c>
      <c r="AE14" s="45">
        <f t="shared" si="0"/>
        <v>0</v>
      </c>
      <c r="AF14" s="45">
        <f t="shared" si="0"/>
        <v>0</v>
      </c>
      <c r="AG14" s="45">
        <f t="shared" si="0"/>
        <v>0</v>
      </c>
      <c r="AH14" s="45">
        <f t="shared" si="0"/>
        <v>0</v>
      </c>
      <c r="AI14" s="45">
        <f t="shared" si="0"/>
        <v>0</v>
      </c>
      <c r="AJ14" s="45">
        <f t="shared" si="0"/>
        <v>0</v>
      </c>
      <c r="AK14" s="45">
        <f t="shared" si="0"/>
        <v>0</v>
      </c>
      <c r="AL14" s="45">
        <f t="shared" si="0"/>
        <v>0</v>
      </c>
      <c r="AM14" s="45">
        <f t="shared" si="0"/>
        <v>0</v>
      </c>
      <c r="AN14" s="45">
        <f t="shared" si="0"/>
        <v>0</v>
      </c>
      <c r="AO14" s="45">
        <f t="shared" si="0"/>
        <v>0</v>
      </c>
      <c r="AP14" s="45">
        <f t="shared" si="0"/>
        <v>0</v>
      </c>
      <c r="AQ14" s="45">
        <f t="shared" si="0"/>
        <v>0</v>
      </c>
      <c r="AR14" s="45">
        <f t="shared" si="0"/>
        <v>0</v>
      </c>
      <c r="AS14" s="46">
        <f t="shared" si="0"/>
        <v>0</v>
      </c>
    </row>
    <row r="15" spans="1:46" ht="30.75" customHeight="1" thickTop="1">
      <c r="A15" s="154" t="s">
        <v>72</v>
      </c>
    </row>
    <row r="16" spans="1:46" ht="15.75" customHeight="1">
      <c r="AJ16" s="186">
        <v>46402</v>
      </c>
      <c r="AK16" s="174"/>
      <c r="AL16" s="174"/>
      <c r="AM16" s="174"/>
      <c r="AN16" s="174"/>
      <c r="AO16" s="174"/>
      <c r="AP16" s="174"/>
      <c r="AQ16" s="174"/>
      <c r="AR16" s="174"/>
      <c r="AS16" s="174"/>
    </row>
    <row r="17" spans="36:45" ht="14.25" customHeight="1"/>
    <row r="18" spans="36:45" ht="14.25" customHeight="1"/>
    <row r="19" spans="36:45" ht="14.25" customHeight="1"/>
    <row r="20" spans="36:45" ht="23.25" customHeight="1">
      <c r="AJ20" s="173" t="s">
        <v>225</v>
      </c>
      <c r="AK20" s="173"/>
      <c r="AL20" s="173"/>
      <c r="AM20" s="173"/>
      <c r="AN20" s="173"/>
      <c r="AO20" s="173"/>
      <c r="AP20" s="173"/>
      <c r="AQ20" s="173"/>
      <c r="AR20" s="173"/>
      <c r="AS20" s="173"/>
    </row>
    <row r="21" spans="36:45" ht="18.75" customHeight="1">
      <c r="AJ21" s="173" t="s">
        <v>39</v>
      </c>
      <c r="AK21" s="173"/>
      <c r="AL21" s="173"/>
      <c r="AM21" s="173"/>
      <c r="AN21" s="173"/>
      <c r="AO21" s="173"/>
      <c r="AP21" s="173"/>
      <c r="AQ21" s="173"/>
      <c r="AR21" s="173"/>
      <c r="AS21" s="173"/>
    </row>
    <row r="22" spans="36:45" ht="14.25" customHeight="1"/>
    <row r="23" spans="36:45" ht="14.25" customHeight="1"/>
    <row r="24" spans="36:45" ht="14.25" customHeight="1"/>
    <row r="25" spans="36:45" ht="14.25" customHeight="1"/>
    <row r="26" spans="36:45" ht="14.25" customHeight="1"/>
    <row r="27" spans="36:45" ht="14.25" customHeight="1"/>
    <row r="28" spans="36:45" ht="14.25" customHeight="1"/>
    <row r="29" spans="36:45" ht="14.25" customHeight="1"/>
    <row r="30" spans="36:45" ht="14.25" customHeight="1"/>
    <row r="31" spans="36:45" ht="14.25" customHeight="1"/>
    <row r="32" spans="36:45"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sheetData>
  <mergeCells count="7">
    <mergeCell ref="AJ21:AS21"/>
    <mergeCell ref="A11:A13"/>
    <mergeCell ref="A2:AS2"/>
    <mergeCell ref="A1:AS1"/>
    <mergeCell ref="A14:E14"/>
    <mergeCell ref="AJ20:AS20"/>
    <mergeCell ref="AJ16:AS16"/>
  </mergeCells>
  <pageMargins left="0.39370078740157483" right="0.19685039370078741" top="0.35433070866141736" bottom="0.19685039370078741" header="0" footer="0"/>
  <pageSetup scale="32"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pageSetUpPr fitToPage="1"/>
  </sheetPr>
  <dimension ref="A1:AT999"/>
  <sheetViews>
    <sheetView showGridLines="0" topLeftCell="A6" zoomScale="40" zoomScaleNormal="40" workbookViewId="0">
      <selection activeCell="I13" sqref="I13"/>
    </sheetView>
  </sheetViews>
  <sheetFormatPr defaultColWidth="12.625" defaultRowHeight="15" customHeight="1"/>
  <cols>
    <col min="1" max="5" width="30.625" customWidth="1"/>
    <col min="6" max="45" width="5.625" customWidth="1"/>
  </cols>
  <sheetData>
    <row r="1" spans="1:46" ht="58.5" customHeight="1" thickBot="1">
      <c r="A1" s="187" t="s">
        <v>238</v>
      </c>
      <c r="B1" s="187"/>
      <c r="C1" s="187"/>
      <c r="D1" s="187"/>
      <c r="E1" s="187"/>
      <c r="F1" s="187"/>
      <c r="G1" s="187"/>
      <c r="H1" s="187"/>
      <c r="I1" s="187"/>
      <c r="J1" s="187"/>
      <c r="K1" s="187"/>
      <c r="L1" s="187"/>
      <c r="M1" s="187"/>
      <c r="N1" s="187"/>
      <c r="O1" s="187"/>
      <c r="P1" s="187"/>
      <c r="Q1" s="187"/>
      <c r="R1" s="187"/>
      <c r="S1" s="187"/>
      <c r="T1" s="187"/>
      <c r="U1" s="187"/>
      <c r="V1" s="187"/>
      <c r="W1" s="187"/>
      <c r="X1" s="187"/>
      <c r="Y1" s="187"/>
      <c r="Z1" s="187"/>
      <c r="AA1" s="187"/>
      <c r="AB1" s="187"/>
      <c r="AC1" s="187"/>
      <c r="AD1" s="187"/>
      <c r="AE1" s="187"/>
      <c r="AF1" s="187"/>
      <c r="AG1" s="187"/>
      <c r="AH1" s="187"/>
      <c r="AI1" s="187"/>
      <c r="AJ1" s="187"/>
      <c r="AK1" s="187"/>
      <c r="AL1" s="187"/>
      <c r="AM1" s="187"/>
      <c r="AN1" s="187"/>
      <c r="AO1" s="187"/>
      <c r="AP1" s="187"/>
      <c r="AQ1" s="187"/>
      <c r="AR1" s="187"/>
      <c r="AS1" s="187"/>
      <c r="AT1" s="51"/>
    </row>
    <row r="2" spans="1:46" ht="40.5" customHeight="1" thickTop="1" thickBot="1">
      <c r="A2" s="175" t="s">
        <v>153</v>
      </c>
      <c r="B2" s="176"/>
      <c r="C2" s="176"/>
      <c r="D2" s="176"/>
      <c r="E2" s="176"/>
      <c r="F2" s="176"/>
      <c r="G2" s="176"/>
      <c r="H2" s="176"/>
      <c r="I2" s="176"/>
      <c r="J2" s="176"/>
      <c r="K2" s="176"/>
      <c r="L2" s="176"/>
      <c r="M2" s="176"/>
      <c r="N2" s="176"/>
      <c r="O2" s="176"/>
      <c r="P2" s="176"/>
      <c r="Q2" s="176"/>
      <c r="R2" s="176"/>
      <c r="S2" s="176"/>
      <c r="T2" s="176"/>
      <c r="U2" s="176"/>
      <c r="V2" s="176"/>
      <c r="W2" s="176"/>
      <c r="X2" s="176"/>
      <c r="Y2" s="176"/>
      <c r="Z2" s="176"/>
      <c r="AA2" s="176"/>
      <c r="AB2" s="176"/>
      <c r="AC2" s="176"/>
      <c r="AD2" s="176"/>
      <c r="AE2" s="176"/>
      <c r="AF2" s="176"/>
      <c r="AG2" s="176"/>
      <c r="AH2" s="176"/>
      <c r="AI2" s="176"/>
      <c r="AJ2" s="176"/>
      <c r="AK2" s="176"/>
      <c r="AL2" s="176"/>
      <c r="AM2" s="176"/>
      <c r="AN2" s="176"/>
      <c r="AO2" s="176"/>
      <c r="AP2" s="176"/>
      <c r="AQ2" s="176"/>
      <c r="AR2" s="176"/>
      <c r="AS2" s="177"/>
      <c r="AT2" s="156"/>
    </row>
    <row r="3" spans="1:46" ht="215.1" customHeight="1" thickTop="1" thickBot="1">
      <c r="A3" s="124" t="s">
        <v>45</v>
      </c>
      <c r="B3" s="125" t="s">
        <v>64</v>
      </c>
      <c r="C3" s="125" t="s">
        <v>65</v>
      </c>
      <c r="D3" s="125" t="s">
        <v>66</v>
      </c>
      <c r="E3" s="125" t="s">
        <v>67</v>
      </c>
      <c r="F3" s="157" t="str">
        <f ca="1">OFFSET('Öğrenci Bilgileri'!$D$4, COLUMN(A1)-1, 0)</f>
        <v>EKREM YEKREK</v>
      </c>
      <c r="G3" s="157" t="str">
        <f ca="1">OFFSET('Öğrenci Bilgileri'!$D$4, COLUMN(B1)-1, 0)</f>
        <v>SAMİ İL</v>
      </c>
      <c r="H3" s="157" t="str">
        <f ca="1">OFFSET('Öğrenci Bilgileri'!$D$4, COLUMN(C1)-1, 0)</f>
        <v>AHMET ÖZBAHAR</v>
      </c>
      <c r="I3" s="157" t="str">
        <f ca="1">OFFSET('Öğrenci Bilgileri'!$D$4, COLUMN(D1)-1, 0)</f>
        <v>FATMA ŞENGÜL</v>
      </c>
      <c r="J3" s="157" t="str">
        <f ca="1">OFFSET('Öğrenci Bilgileri'!$D$4, COLUMN(E1)-1, 0)</f>
        <v>GÖNÜL KORKUT</v>
      </c>
      <c r="K3" s="157" t="str">
        <f ca="1">OFFSET('Öğrenci Bilgileri'!$D$4, COLUMN(F1)-1, 0)</f>
        <v>MEHMET TANER</v>
      </c>
      <c r="L3" s="157" t="str">
        <f ca="1">OFFSET('Öğrenci Bilgileri'!$D$4, COLUMN(G1)-1, 0)</f>
        <v>HARUN DERİN</v>
      </c>
      <c r="M3" s="157" t="str">
        <f ca="1">OFFSET('Öğrenci Bilgileri'!$D$4, COLUMN(H1)-1, 0)</f>
        <v>MERVE KAMALAK</v>
      </c>
      <c r="N3" s="157" t="str">
        <f ca="1">OFFSET('Öğrenci Bilgileri'!$D$4, COLUMN(I1)-1, 0)</f>
        <v>ÜMRAN AYKIŞ</v>
      </c>
      <c r="O3" s="157" t="str">
        <f ca="1">OFFSET('Öğrenci Bilgileri'!$D$4, COLUMN(J1)-1, 0)</f>
        <v>IŞIL ÖZLER</v>
      </c>
      <c r="P3" s="157">
        <f ca="1">OFFSET('Öğrenci Bilgileri'!$D$4, COLUMN(K1)-1, 0)</f>
        <v>0</v>
      </c>
      <c r="Q3" s="157">
        <f ca="1">OFFSET('Öğrenci Bilgileri'!$D$4, COLUMN(L1)-1, 0)</f>
        <v>0</v>
      </c>
      <c r="R3" s="157">
        <f ca="1">OFFSET('Öğrenci Bilgileri'!$D$4, COLUMN(M1)-1, 0)</f>
        <v>0</v>
      </c>
      <c r="S3" s="157">
        <f ca="1">OFFSET('Öğrenci Bilgileri'!$D$4, COLUMN(N1)-1, 0)</f>
        <v>0</v>
      </c>
      <c r="T3" s="157">
        <f ca="1">OFFSET('Öğrenci Bilgileri'!$D$4, COLUMN(O1)-1, 0)</f>
        <v>0</v>
      </c>
      <c r="U3" s="157">
        <f ca="1">OFFSET('Öğrenci Bilgileri'!$D$4, COLUMN(P1)-1, 0)</f>
        <v>0</v>
      </c>
      <c r="V3" s="157">
        <f ca="1">OFFSET('Öğrenci Bilgileri'!$D$4, COLUMN(Q1)-1, 0)</f>
        <v>0</v>
      </c>
      <c r="W3" s="157">
        <f ca="1">OFFSET('Öğrenci Bilgileri'!$D$4, COLUMN(R1)-1, 0)</f>
        <v>0</v>
      </c>
      <c r="X3" s="157">
        <f ca="1">OFFSET('Öğrenci Bilgileri'!$D$4, COLUMN(S1)-1, 0)</f>
        <v>0</v>
      </c>
      <c r="Y3" s="157">
        <f ca="1">OFFSET('Öğrenci Bilgileri'!$D$4, COLUMN(T1)-1, 0)</f>
        <v>0</v>
      </c>
      <c r="Z3" s="157">
        <f ca="1">OFFSET('Öğrenci Bilgileri'!$D$4, COLUMN(U1)-1, 0)</f>
        <v>0</v>
      </c>
      <c r="AA3" s="157">
        <f ca="1">OFFSET('Öğrenci Bilgileri'!$D$4, COLUMN(V1)-1, 0)</f>
        <v>0</v>
      </c>
      <c r="AB3" s="157">
        <f ca="1">OFFSET('Öğrenci Bilgileri'!$D$4, COLUMN(W1)-1, 0)</f>
        <v>0</v>
      </c>
      <c r="AC3" s="157">
        <f ca="1">OFFSET('Öğrenci Bilgileri'!$D$4, COLUMN(X1)-1, 0)</f>
        <v>0</v>
      </c>
      <c r="AD3" s="157">
        <f ca="1">OFFSET('Öğrenci Bilgileri'!$D$4, COLUMN(Y1)-1, 0)</f>
        <v>0</v>
      </c>
      <c r="AE3" s="157">
        <f ca="1">OFFSET('Öğrenci Bilgileri'!$D$4, COLUMN(Z1)-1, 0)</f>
        <v>0</v>
      </c>
      <c r="AF3" s="157">
        <f ca="1">OFFSET('Öğrenci Bilgileri'!$D$4, COLUMN(AA1)-1, 0)</f>
        <v>0</v>
      </c>
      <c r="AG3" s="157">
        <f ca="1">OFFSET('Öğrenci Bilgileri'!$D$4, COLUMN(AB1)-1, 0)</f>
        <v>0</v>
      </c>
      <c r="AH3" s="157">
        <f ca="1">OFFSET('Öğrenci Bilgileri'!$D$4, COLUMN(AC1)-1, 0)</f>
        <v>0</v>
      </c>
      <c r="AI3" s="157">
        <f ca="1">OFFSET('Öğrenci Bilgileri'!$D$4, COLUMN(AD1)-1, 0)</f>
        <v>0</v>
      </c>
      <c r="AJ3" s="157">
        <f ca="1">OFFSET('Öğrenci Bilgileri'!$D$4, COLUMN(AE1)-1, 0)</f>
        <v>0</v>
      </c>
      <c r="AK3" s="157">
        <f ca="1">OFFSET('Öğrenci Bilgileri'!$D$4, COLUMN(AF1)-1, 0)</f>
        <v>0</v>
      </c>
      <c r="AL3" s="157">
        <f ca="1">OFFSET('Öğrenci Bilgileri'!$D$4, COLUMN(AG1)-1, 0)</f>
        <v>0</v>
      </c>
      <c r="AM3" s="157">
        <f ca="1">OFFSET('Öğrenci Bilgileri'!$D$4, COLUMN(AH1)-1, 0)</f>
        <v>0</v>
      </c>
      <c r="AN3" s="157">
        <f ca="1">OFFSET('Öğrenci Bilgileri'!$D$4, COLUMN(AI1)-1, 0)</f>
        <v>0</v>
      </c>
      <c r="AO3" s="157">
        <f ca="1">OFFSET('Öğrenci Bilgileri'!$D$4, COLUMN(AJ1)-1, 0)</f>
        <v>0</v>
      </c>
      <c r="AP3" s="157">
        <f ca="1">OFFSET('Öğrenci Bilgileri'!$D$4, COLUMN(AK1)-1, 0)</f>
        <v>0</v>
      </c>
      <c r="AQ3" s="157">
        <f ca="1">OFFSET('Öğrenci Bilgileri'!$D$4, COLUMN(AL1)-1, 0)</f>
        <v>0</v>
      </c>
      <c r="AR3" s="157">
        <f ca="1">OFFSET('Öğrenci Bilgileri'!$D$4, COLUMN(AM1)-1, 0)</f>
        <v>0</v>
      </c>
      <c r="AS3" s="158">
        <f ca="1">OFFSET('Öğrenci Bilgileri'!$D$4, COLUMN(AP1)-1, 0)</f>
        <v>0</v>
      </c>
    </row>
    <row r="4" spans="1:46" ht="120" customHeight="1" thickTop="1" thickBot="1">
      <c r="A4" s="146" t="s">
        <v>5</v>
      </c>
      <c r="B4" s="147" t="s">
        <v>154</v>
      </c>
      <c r="C4" s="147" t="s">
        <v>155</v>
      </c>
      <c r="D4" s="147" t="s">
        <v>156</v>
      </c>
      <c r="E4" s="47" t="s">
        <v>157</v>
      </c>
      <c r="F4" s="37">
        <v>10</v>
      </c>
      <c r="G4" s="29">
        <v>8</v>
      </c>
      <c r="H4" s="29">
        <v>4</v>
      </c>
      <c r="I4" s="29">
        <v>6</v>
      </c>
      <c r="J4" s="29"/>
      <c r="K4" s="29"/>
      <c r="L4" s="29"/>
      <c r="M4" s="29"/>
      <c r="N4" s="29"/>
      <c r="O4" s="29"/>
      <c r="P4" s="29"/>
      <c r="Q4" s="29"/>
      <c r="R4" s="29"/>
      <c r="S4" s="29"/>
      <c r="T4" s="29"/>
      <c r="U4" s="29"/>
      <c r="V4" s="29"/>
      <c r="W4" s="29"/>
      <c r="X4" s="29"/>
      <c r="Y4" s="29"/>
      <c r="Z4" s="29"/>
      <c r="AA4" s="29"/>
      <c r="AB4" s="29"/>
      <c r="AC4" s="29"/>
      <c r="AD4" s="29"/>
      <c r="AE4" s="29"/>
      <c r="AF4" s="29"/>
      <c r="AG4" s="29"/>
      <c r="AH4" s="29"/>
      <c r="AI4" s="29"/>
      <c r="AJ4" s="29"/>
      <c r="AK4" s="29"/>
      <c r="AL4" s="29"/>
      <c r="AM4" s="29"/>
      <c r="AN4" s="29"/>
      <c r="AO4" s="29"/>
      <c r="AP4" s="29"/>
      <c r="AQ4" s="29"/>
      <c r="AR4" s="29"/>
      <c r="AS4" s="30"/>
    </row>
    <row r="5" spans="1:46" ht="120" customHeight="1" thickTop="1" thickBot="1">
      <c r="A5" s="146" t="s">
        <v>7</v>
      </c>
      <c r="B5" s="147" t="s">
        <v>158</v>
      </c>
      <c r="C5" s="147" t="s">
        <v>159</v>
      </c>
      <c r="D5" s="147" t="s">
        <v>160</v>
      </c>
      <c r="E5" s="47" t="s">
        <v>161</v>
      </c>
      <c r="F5" s="37">
        <v>10</v>
      </c>
      <c r="G5" s="29">
        <v>8</v>
      </c>
      <c r="H5" s="29">
        <v>4</v>
      </c>
      <c r="I5" s="29">
        <v>6</v>
      </c>
      <c r="J5" s="29"/>
      <c r="K5" s="29"/>
      <c r="L5" s="29"/>
      <c r="M5" s="29"/>
      <c r="N5" s="29"/>
      <c r="O5" s="29"/>
      <c r="P5" s="29"/>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30"/>
    </row>
    <row r="6" spans="1:46" ht="120" customHeight="1" thickTop="1" thickBot="1">
      <c r="A6" s="146" t="s">
        <v>9</v>
      </c>
      <c r="B6" s="126" t="s">
        <v>122</v>
      </c>
      <c r="C6" s="126" t="s">
        <v>123</v>
      </c>
      <c r="D6" s="126" t="s">
        <v>124</v>
      </c>
      <c r="E6" s="148" t="s">
        <v>125</v>
      </c>
      <c r="F6" s="37">
        <v>10</v>
      </c>
      <c r="G6" s="29">
        <v>8</v>
      </c>
      <c r="H6" s="29">
        <v>4</v>
      </c>
      <c r="I6" s="29">
        <v>6</v>
      </c>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30"/>
    </row>
    <row r="7" spans="1:46" ht="120" customHeight="1" thickTop="1" thickBot="1">
      <c r="A7" s="146" t="s">
        <v>10</v>
      </c>
      <c r="B7" s="147" t="s">
        <v>162</v>
      </c>
      <c r="C7" s="147" t="s">
        <v>163</v>
      </c>
      <c r="D7" s="147" t="s">
        <v>164</v>
      </c>
      <c r="E7" s="47" t="s">
        <v>165</v>
      </c>
      <c r="F7" s="37">
        <v>10</v>
      </c>
      <c r="G7" s="29">
        <v>8</v>
      </c>
      <c r="H7" s="29">
        <v>4</v>
      </c>
      <c r="I7" s="29">
        <v>6</v>
      </c>
      <c r="J7" s="29"/>
      <c r="K7" s="29"/>
      <c r="L7" s="29"/>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30"/>
    </row>
    <row r="8" spans="1:46" ht="120" customHeight="1" thickTop="1" thickBot="1">
      <c r="A8" s="146" t="s">
        <v>12</v>
      </c>
      <c r="B8" s="126" t="s">
        <v>166</v>
      </c>
      <c r="C8" s="126" t="s">
        <v>167</v>
      </c>
      <c r="D8" s="126" t="s">
        <v>168</v>
      </c>
      <c r="E8" s="148" t="s">
        <v>169</v>
      </c>
      <c r="F8" s="37">
        <v>10</v>
      </c>
      <c r="G8" s="29">
        <v>8</v>
      </c>
      <c r="H8" s="29">
        <v>4</v>
      </c>
      <c r="I8" s="29">
        <v>6</v>
      </c>
      <c r="J8" s="29"/>
      <c r="K8" s="29"/>
      <c r="L8" s="29"/>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30"/>
    </row>
    <row r="9" spans="1:46" ht="120" customHeight="1" thickTop="1" thickBot="1">
      <c r="A9" s="155" t="s">
        <v>2</v>
      </c>
      <c r="B9" s="126" t="s">
        <v>170</v>
      </c>
      <c r="C9" s="126" t="s">
        <v>173</v>
      </c>
      <c r="D9" s="126" t="s">
        <v>171</v>
      </c>
      <c r="E9" s="148" t="s">
        <v>172</v>
      </c>
      <c r="F9" s="40">
        <v>10</v>
      </c>
      <c r="G9" s="31">
        <v>8</v>
      </c>
      <c r="H9" s="31">
        <v>4</v>
      </c>
      <c r="I9" s="31">
        <v>6</v>
      </c>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2"/>
    </row>
    <row r="10" spans="1:46" ht="120" customHeight="1" thickTop="1" thickBot="1">
      <c r="A10" s="146" t="s">
        <v>4</v>
      </c>
      <c r="B10" s="147" t="s">
        <v>174</v>
      </c>
      <c r="C10" s="147" t="s">
        <v>175</v>
      </c>
      <c r="D10" s="147" t="s">
        <v>176</v>
      </c>
      <c r="E10" s="47" t="s">
        <v>177</v>
      </c>
      <c r="F10" s="37">
        <v>10</v>
      </c>
      <c r="G10" s="29">
        <v>8</v>
      </c>
      <c r="H10" s="29">
        <v>4</v>
      </c>
      <c r="I10" s="29">
        <v>6</v>
      </c>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30"/>
    </row>
    <row r="11" spans="1:46" ht="120" customHeight="1" thickTop="1" thickBot="1">
      <c r="A11" s="146" t="s">
        <v>15</v>
      </c>
      <c r="B11" s="147" t="s">
        <v>142</v>
      </c>
      <c r="C11" s="147" t="s">
        <v>145</v>
      </c>
      <c r="D11" s="147" t="s">
        <v>143</v>
      </c>
      <c r="E11" s="47" t="s">
        <v>144</v>
      </c>
      <c r="F11" s="37">
        <v>10</v>
      </c>
      <c r="G11" s="29">
        <v>8</v>
      </c>
      <c r="H11" s="29">
        <v>4</v>
      </c>
      <c r="I11" s="29">
        <v>6</v>
      </c>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30"/>
    </row>
    <row r="12" spans="1:46" ht="120" customHeight="1" thickTop="1" thickBot="1">
      <c r="A12" s="146" t="s">
        <v>16</v>
      </c>
      <c r="B12" s="147" t="s">
        <v>178</v>
      </c>
      <c r="C12" s="147" t="s">
        <v>179</v>
      </c>
      <c r="D12" s="147" t="s">
        <v>180</v>
      </c>
      <c r="E12" s="47" t="s">
        <v>181</v>
      </c>
      <c r="F12" s="37">
        <v>20</v>
      </c>
      <c r="G12" s="29">
        <v>16</v>
      </c>
      <c r="H12" s="29">
        <v>8</v>
      </c>
      <c r="I12" s="29">
        <v>12</v>
      </c>
      <c r="J12" s="29"/>
      <c r="K12" s="29"/>
      <c r="L12" s="29"/>
      <c r="M12" s="29"/>
      <c r="N12" s="29"/>
      <c r="O12" s="29"/>
      <c r="P12" s="29"/>
      <c r="Q12" s="29"/>
      <c r="R12" s="29"/>
      <c r="S12" s="29"/>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30"/>
    </row>
    <row r="13" spans="1:46" ht="49.5" customHeight="1" thickTop="1" thickBot="1">
      <c r="A13" s="188" t="s">
        <v>13</v>
      </c>
      <c r="B13" s="188"/>
      <c r="C13" s="188"/>
      <c r="D13" s="188"/>
      <c r="E13" s="188"/>
      <c r="F13" s="50">
        <f t="shared" ref="F13:AS13" si="0">SUM(F4:F12)</f>
        <v>100</v>
      </c>
      <c r="G13" s="27">
        <f t="shared" si="0"/>
        <v>80</v>
      </c>
      <c r="H13" s="27">
        <f t="shared" si="0"/>
        <v>40</v>
      </c>
      <c r="I13" s="27">
        <f t="shared" si="0"/>
        <v>60</v>
      </c>
      <c r="J13" s="27">
        <f t="shared" si="0"/>
        <v>0</v>
      </c>
      <c r="K13" s="27">
        <f t="shared" si="0"/>
        <v>0</v>
      </c>
      <c r="L13" s="27">
        <f t="shared" si="0"/>
        <v>0</v>
      </c>
      <c r="M13" s="27">
        <f t="shared" si="0"/>
        <v>0</v>
      </c>
      <c r="N13" s="27">
        <f t="shared" si="0"/>
        <v>0</v>
      </c>
      <c r="O13" s="27">
        <f t="shared" si="0"/>
        <v>0</v>
      </c>
      <c r="P13" s="27">
        <f t="shared" si="0"/>
        <v>0</v>
      </c>
      <c r="Q13" s="27">
        <f t="shared" si="0"/>
        <v>0</v>
      </c>
      <c r="R13" s="27">
        <f t="shared" si="0"/>
        <v>0</v>
      </c>
      <c r="S13" s="27">
        <f t="shared" si="0"/>
        <v>0</v>
      </c>
      <c r="T13" s="27">
        <f t="shared" si="0"/>
        <v>0</v>
      </c>
      <c r="U13" s="27">
        <f t="shared" si="0"/>
        <v>0</v>
      </c>
      <c r="V13" s="27">
        <f t="shared" si="0"/>
        <v>0</v>
      </c>
      <c r="W13" s="27">
        <f t="shared" si="0"/>
        <v>0</v>
      </c>
      <c r="X13" s="27">
        <f t="shared" si="0"/>
        <v>0</v>
      </c>
      <c r="Y13" s="27">
        <f t="shared" si="0"/>
        <v>0</v>
      </c>
      <c r="Z13" s="27">
        <f t="shared" si="0"/>
        <v>0</v>
      </c>
      <c r="AA13" s="27">
        <f t="shared" si="0"/>
        <v>0</v>
      </c>
      <c r="AB13" s="27">
        <f t="shared" si="0"/>
        <v>0</v>
      </c>
      <c r="AC13" s="27">
        <f t="shared" si="0"/>
        <v>0</v>
      </c>
      <c r="AD13" s="27">
        <f t="shared" si="0"/>
        <v>0</v>
      </c>
      <c r="AE13" s="27">
        <f t="shared" si="0"/>
        <v>0</v>
      </c>
      <c r="AF13" s="27">
        <f t="shared" si="0"/>
        <v>0</v>
      </c>
      <c r="AG13" s="27">
        <f t="shared" si="0"/>
        <v>0</v>
      </c>
      <c r="AH13" s="27">
        <f t="shared" si="0"/>
        <v>0</v>
      </c>
      <c r="AI13" s="27">
        <f t="shared" si="0"/>
        <v>0</v>
      </c>
      <c r="AJ13" s="27">
        <f t="shared" si="0"/>
        <v>0</v>
      </c>
      <c r="AK13" s="27">
        <f t="shared" si="0"/>
        <v>0</v>
      </c>
      <c r="AL13" s="27">
        <f t="shared" si="0"/>
        <v>0</v>
      </c>
      <c r="AM13" s="27">
        <f t="shared" si="0"/>
        <v>0</v>
      </c>
      <c r="AN13" s="27">
        <f t="shared" si="0"/>
        <v>0</v>
      </c>
      <c r="AO13" s="27">
        <f t="shared" si="0"/>
        <v>0</v>
      </c>
      <c r="AP13" s="27">
        <f t="shared" si="0"/>
        <v>0</v>
      </c>
      <c r="AQ13" s="27">
        <f t="shared" si="0"/>
        <v>0</v>
      </c>
      <c r="AR13" s="27">
        <f t="shared" si="0"/>
        <v>0</v>
      </c>
      <c r="AS13" s="28">
        <f t="shared" si="0"/>
        <v>0</v>
      </c>
    </row>
    <row r="14" spans="1:46" ht="30.75" customHeight="1" thickTop="1">
      <c r="A14" s="154" t="s">
        <v>72</v>
      </c>
    </row>
    <row r="15" spans="1:46" ht="18" customHeight="1">
      <c r="AJ15" s="174" t="s">
        <v>47</v>
      </c>
      <c r="AK15" s="174"/>
      <c r="AL15" s="174"/>
      <c r="AM15" s="174"/>
      <c r="AN15" s="174"/>
      <c r="AO15" s="174"/>
      <c r="AP15" s="174"/>
      <c r="AQ15" s="174"/>
      <c r="AR15" s="174"/>
      <c r="AS15" s="174"/>
    </row>
    <row r="16" spans="1:46" ht="14.25" customHeight="1"/>
    <row r="17" spans="36:45" ht="14.25" customHeight="1"/>
    <row r="18" spans="36:45" ht="14.25" customHeight="1"/>
    <row r="19" spans="36:45" ht="21" customHeight="1">
      <c r="AJ19" s="173" t="s">
        <v>225</v>
      </c>
      <c r="AK19" s="173"/>
      <c r="AL19" s="173"/>
      <c r="AM19" s="173"/>
      <c r="AN19" s="173"/>
      <c r="AO19" s="173"/>
      <c r="AP19" s="173"/>
      <c r="AQ19" s="173"/>
      <c r="AR19" s="173"/>
      <c r="AS19" s="173"/>
    </row>
    <row r="20" spans="36:45" ht="24" customHeight="1">
      <c r="AJ20" s="173" t="s">
        <v>39</v>
      </c>
      <c r="AK20" s="173"/>
      <c r="AL20" s="173"/>
      <c r="AM20" s="173"/>
      <c r="AN20" s="173"/>
      <c r="AO20" s="173"/>
      <c r="AP20" s="173"/>
      <c r="AQ20" s="173"/>
      <c r="AR20" s="173"/>
      <c r="AS20" s="173"/>
    </row>
    <row r="21" spans="36:45" ht="14.25" customHeight="1"/>
    <row r="22" spans="36:45" ht="14.25" customHeight="1"/>
    <row r="23" spans="36:45" ht="14.25" customHeight="1"/>
    <row r="24" spans="36:45" ht="14.25" customHeight="1"/>
    <row r="25" spans="36:45" ht="14.25" customHeight="1"/>
    <row r="26" spans="36:45" ht="14.25" customHeight="1"/>
    <row r="27" spans="36:45" ht="14.25" customHeight="1"/>
    <row r="28" spans="36:45" ht="14.25" customHeight="1"/>
    <row r="29" spans="36:45" ht="14.25" customHeight="1"/>
    <row r="30" spans="36:45" ht="14.25" customHeight="1"/>
    <row r="31" spans="36:45" ht="14.25" customHeight="1"/>
    <row r="32" spans="36:45"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mergeCells count="6">
    <mergeCell ref="AJ20:AS20"/>
    <mergeCell ref="AJ15:AS15"/>
    <mergeCell ref="A2:AS2"/>
    <mergeCell ref="A1:AS1"/>
    <mergeCell ref="A13:E13"/>
    <mergeCell ref="AJ19:AS19"/>
  </mergeCells>
  <pageMargins left="0.39370078740157483" right="0.19685039370078741" top="0.55118110236220474" bottom="0" header="0" footer="0"/>
  <pageSetup scale="32"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pageSetUpPr fitToPage="1"/>
  </sheetPr>
  <dimension ref="A1:AS997"/>
  <sheetViews>
    <sheetView showGridLines="0" topLeftCell="A7" zoomScale="40" zoomScaleNormal="40" workbookViewId="0">
      <selection activeCell="I14" sqref="I14"/>
    </sheetView>
  </sheetViews>
  <sheetFormatPr defaultColWidth="12.625" defaultRowHeight="15" customHeight="1"/>
  <cols>
    <col min="1" max="5" width="30.625" customWidth="1"/>
    <col min="6" max="45" width="5.625" customWidth="1"/>
  </cols>
  <sheetData>
    <row r="1" spans="1:45" ht="58.5" customHeight="1" thickBot="1">
      <c r="A1" s="189" t="s">
        <v>239</v>
      </c>
      <c r="B1" s="189"/>
      <c r="C1" s="189"/>
      <c r="D1" s="189"/>
      <c r="E1" s="189"/>
      <c r="F1" s="189"/>
      <c r="G1" s="189"/>
      <c r="H1" s="189"/>
      <c r="I1" s="189"/>
      <c r="J1" s="189"/>
      <c r="K1" s="189"/>
      <c r="L1" s="189"/>
      <c r="M1" s="189"/>
      <c r="N1" s="189"/>
      <c r="O1" s="189"/>
      <c r="P1" s="189"/>
      <c r="Q1" s="189"/>
      <c r="R1" s="189"/>
      <c r="S1" s="189"/>
      <c r="T1" s="189"/>
      <c r="U1" s="189"/>
      <c r="V1" s="189"/>
      <c r="W1" s="189"/>
      <c r="X1" s="189"/>
      <c r="Y1" s="189"/>
      <c r="Z1" s="189"/>
      <c r="AA1" s="189"/>
      <c r="AB1" s="189"/>
      <c r="AC1" s="189"/>
      <c r="AD1" s="189"/>
      <c r="AE1" s="189"/>
      <c r="AF1" s="189"/>
      <c r="AG1" s="189"/>
      <c r="AH1" s="189"/>
      <c r="AI1" s="189"/>
      <c r="AJ1" s="189"/>
      <c r="AK1" s="189"/>
      <c r="AL1" s="189"/>
      <c r="AM1" s="189"/>
      <c r="AN1" s="189"/>
      <c r="AO1" s="189"/>
      <c r="AP1" s="189"/>
      <c r="AQ1" s="189"/>
      <c r="AR1" s="189"/>
      <c r="AS1" s="189"/>
    </row>
    <row r="2" spans="1:45" ht="40.5" customHeight="1" thickTop="1" thickBot="1">
      <c r="A2" s="175" t="s">
        <v>184</v>
      </c>
      <c r="B2" s="176"/>
      <c r="C2" s="176"/>
      <c r="D2" s="176"/>
      <c r="E2" s="176"/>
      <c r="F2" s="176"/>
      <c r="G2" s="176"/>
      <c r="H2" s="176"/>
      <c r="I2" s="176"/>
      <c r="J2" s="176"/>
      <c r="K2" s="176"/>
      <c r="L2" s="176"/>
      <c r="M2" s="176"/>
      <c r="N2" s="176"/>
      <c r="O2" s="176"/>
      <c r="P2" s="176"/>
      <c r="Q2" s="176"/>
      <c r="R2" s="176"/>
      <c r="S2" s="176"/>
      <c r="T2" s="176"/>
      <c r="U2" s="176"/>
      <c r="V2" s="176"/>
      <c r="W2" s="176"/>
      <c r="X2" s="176"/>
      <c r="Y2" s="176"/>
      <c r="Z2" s="176"/>
      <c r="AA2" s="176"/>
      <c r="AB2" s="176"/>
      <c r="AC2" s="176"/>
      <c r="AD2" s="176"/>
      <c r="AE2" s="176"/>
      <c r="AF2" s="176"/>
      <c r="AG2" s="176"/>
      <c r="AH2" s="176"/>
      <c r="AI2" s="176"/>
      <c r="AJ2" s="176"/>
      <c r="AK2" s="176"/>
      <c r="AL2" s="176"/>
      <c r="AM2" s="176"/>
      <c r="AN2" s="176"/>
      <c r="AO2" s="176"/>
      <c r="AP2" s="176"/>
      <c r="AQ2" s="176"/>
      <c r="AR2" s="176"/>
      <c r="AS2" s="177"/>
    </row>
    <row r="3" spans="1:45" ht="215.1" customHeight="1" thickTop="1" thickBot="1">
      <c r="A3" s="124" t="s">
        <v>45</v>
      </c>
      <c r="B3" s="125" t="s">
        <v>64</v>
      </c>
      <c r="C3" s="125" t="s">
        <v>65</v>
      </c>
      <c r="D3" s="125" t="s">
        <v>66</v>
      </c>
      <c r="E3" s="125" t="s">
        <v>67</v>
      </c>
      <c r="F3" s="160" t="str">
        <f ca="1">OFFSET('Öğrenci Bilgileri'!$D$4, COLUMN(A1)-1, 0)</f>
        <v>EKREM YEKREK</v>
      </c>
      <c r="G3" s="160" t="str">
        <f ca="1">OFFSET('Öğrenci Bilgileri'!$D$4, COLUMN(B1)-1, 0)</f>
        <v>SAMİ İL</v>
      </c>
      <c r="H3" s="160" t="str">
        <f ca="1">OFFSET('Öğrenci Bilgileri'!$D$4, COLUMN(C1)-1, 0)</f>
        <v>AHMET ÖZBAHAR</v>
      </c>
      <c r="I3" s="160" t="str">
        <f ca="1">OFFSET('Öğrenci Bilgileri'!$D$4, COLUMN(D1)-1, 0)</f>
        <v>FATMA ŞENGÜL</v>
      </c>
      <c r="J3" s="160" t="str">
        <f ca="1">OFFSET('Öğrenci Bilgileri'!$D$4, COLUMN(E1)-1, 0)</f>
        <v>GÖNÜL KORKUT</v>
      </c>
      <c r="K3" s="160" t="str">
        <f ca="1">OFFSET('Öğrenci Bilgileri'!$D$4, COLUMN(F1)-1, 0)</f>
        <v>MEHMET TANER</v>
      </c>
      <c r="L3" s="160" t="str">
        <f ca="1">OFFSET('Öğrenci Bilgileri'!$D$4, COLUMN(G1)-1, 0)</f>
        <v>HARUN DERİN</v>
      </c>
      <c r="M3" s="160" t="str">
        <f ca="1">OFFSET('Öğrenci Bilgileri'!$D$4, COLUMN(H1)-1, 0)</f>
        <v>MERVE KAMALAK</v>
      </c>
      <c r="N3" s="160" t="str">
        <f ca="1">OFFSET('Öğrenci Bilgileri'!$D$4, COLUMN(I1)-1, 0)</f>
        <v>ÜMRAN AYKIŞ</v>
      </c>
      <c r="O3" s="160" t="str">
        <f ca="1">OFFSET('Öğrenci Bilgileri'!$D$4, COLUMN(J1)-1, 0)</f>
        <v>IŞIL ÖZLER</v>
      </c>
      <c r="P3" s="160">
        <f ca="1">OFFSET('Öğrenci Bilgileri'!$D$4, COLUMN(K1)-1, 0)</f>
        <v>0</v>
      </c>
      <c r="Q3" s="160">
        <f ca="1">OFFSET('Öğrenci Bilgileri'!$D$4, COLUMN(L1)-1, 0)</f>
        <v>0</v>
      </c>
      <c r="R3" s="160">
        <f ca="1">OFFSET('Öğrenci Bilgileri'!$D$4, COLUMN(M1)-1, 0)</f>
        <v>0</v>
      </c>
      <c r="S3" s="160">
        <f ca="1">OFFSET('Öğrenci Bilgileri'!$D$4, COLUMN(N1)-1, 0)</f>
        <v>0</v>
      </c>
      <c r="T3" s="160">
        <f ca="1">OFFSET('Öğrenci Bilgileri'!$D$4, COLUMN(O1)-1, 0)</f>
        <v>0</v>
      </c>
      <c r="U3" s="160">
        <f ca="1">OFFSET('Öğrenci Bilgileri'!$D$4, COLUMN(P1)-1, 0)</f>
        <v>0</v>
      </c>
      <c r="V3" s="160">
        <f ca="1">OFFSET('Öğrenci Bilgileri'!$D$4, COLUMN(Q1)-1, 0)</f>
        <v>0</v>
      </c>
      <c r="W3" s="160">
        <f ca="1">OFFSET('Öğrenci Bilgileri'!$D$4, COLUMN(R1)-1, 0)</f>
        <v>0</v>
      </c>
      <c r="X3" s="160">
        <f ca="1">OFFSET('Öğrenci Bilgileri'!$D$4, COLUMN(S1)-1, 0)</f>
        <v>0</v>
      </c>
      <c r="Y3" s="160">
        <f ca="1">OFFSET('Öğrenci Bilgileri'!$D$4, COLUMN(T1)-1, 0)</f>
        <v>0</v>
      </c>
      <c r="Z3" s="160">
        <f ca="1">OFFSET('Öğrenci Bilgileri'!$D$4, COLUMN(U1)-1, 0)</f>
        <v>0</v>
      </c>
      <c r="AA3" s="160">
        <f ca="1">OFFSET('Öğrenci Bilgileri'!$D$4, COLUMN(V1)-1, 0)</f>
        <v>0</v>
      </c>
      <c r="AB3" s="160">
        <f ca="1">OFFSET('Öğrenci Bilgileri'!$D$4, COLUMN(W1)-1, 0)</f>
        <v>0</v>
      </c>
      <c r="AC3" s="160">
        <f ca="1">OFFSET('Öğrenci Bilgileri'!$D$4, COLUMN(X1)-1, 0)</f>
        <v>0</v>
      </c>
      <c r="AD3" s="160">
        <f ca="1">OFFSET('Öğrenci Bilgileri'!$D$4, COLUMN(Y1)-1, 0)</f>
        <v>0</v>
      </c>
      <c r="AE3" s="160">
        <f ca="1">OFFSET('Öğrenci Bilgileri'!$D$4, COLUMN(Z1)-1, 0)</f>
        <v>0</v>
      </c>
      <c r="AF3" s="160">
        <f ca="1">OFFSET('Öğrenci Bilgileri'!$D$4, COLUMN(AA1)-1, 0)</f>
        <v>0</v>
      </c>
      <c r="AG3" s="160">
        <f ca="1">OFFSET('Öğrenci Bilgileri'!$D$4, COLUMN(AB1)-1, 0)</f>
        <v>0</v>
      </c>
      <c r="AH3" s="160">
        <f ca="1">OFFSET('Öğrenci Bilgileri'!$D$4, COLUMN(AC1)-1, 0)</f>
        <v>0</v>
      </c>
      <c r="AI3" s="160">
        <f ca="1">OFFSET('Öğrenci Bilgileri'!$D$4, COLUMN(AD1)-1, 0)</f>
        <v>0</v>
      </c>
      <c r="AJ3" s="160">
        <f ca="1">OFFSET('Öğrenci Bilgileri'!$D$4, COLUMN(AE1)-1, 0)</f>
        <v>0</v>
      </c>
      <c r="AK3" s="160">
        <f ca="1">OFFSET('Öğrenci Bilgileri'!$D$4, COLUMN(AF1)-1, 0)</f>
        <v>0</v>
      </c>
      <c r="AL3" s="160">
        <f ca="1">OFFSET('Öğrenci Bilgileri'!$D$4, COLUMN(AG1)-1, 0)</f>
        <v>0</v>
      </c>
      <c r="AM3" s="160">
        <f ca="1">OFFSET('Öğrenci Bilgileri'!$D$4, COLUMN(AH1)-1, 0)</f>
        <v>0</v>
      </c>
      <c r="AN3" s="160">
        <f ca="1">OFFSET('Öğrenci Bilgileri'!$D$4, COLUMN(AI1)-1, 0)</f>
        <v>0</v>
      </c>
      <c r="AO3" s="160">
        <f ca="1">OFFSET('Öğrenci Bilgileri'!$D$4, COLUMN(AJ1)-1, 0)</f>
        <v>0</v>
      </c>
      <c r="AP3" s="160">
        <f ca="1">OFFSET('Öğrenci Bilgileri'!$D$4, COLUMN(AK1)-1, 0)</f>
        <v>0</v>
      </c>
      <c r="AQ3" s="160">
        <f ca="1">OFFSET('Öğrenci Bilgileri'!$D$4, COLUMN(AL1)-1, 0)</f>
        <v>0</v>
      </c>
      <c r="AR3" s="160">
        <f ca="1">OFFSET('Öğrenci Bilgileri'!$D$4, COLUMN(AM1)-1, 0)</f>
        <v>0</v>
      </c>
      <c r="AS3" s="160">
        <f ca="1">OFFSET('Öğrenci Bilgileri'!$D$4, COLUMN(AN1)-1, 0)</f>
        <v>0</v>
      </c>
    </row>
    <row r="4" spans="1:45" ht="120" customHeight="1" thickTop="1" thickBot="1">
      <c r="A4" s="146" t="s">
        <v>0</v>
      </c>
      <c r="B4" s="147" t="s">
        <v>185</v>
      </c>
      <c r="C4" s="147" t="s">
        <v>188</v>
      </c>
      <c r="D4" s="147" t="s">
        <v>186</v>
      </c>
      <c r="E4" s="47" t="s">
        <v>187</v>
      </c>
      <c r="F4" s="37">
        <v>10</v>
      </c>
      <c r="G4" s="29">
        <v>8</v>
      </c>
      <c r="H4" s="29">
        <v>4</v>
      </c>
      <c r="I4" s="29">
        <v>6</v>
      </c>
      <c r="J4" s="29"/>
      <c r="K4" s="29"/>
      <c r="L4" s="29"/>
      <c r="M4" s="29"/>
      <c r="N4" s="29"/>
      <c r="O4" s="29"/>
      <c r="P4" s="29"/>
      <c r="Q4" s="29"/>
      <c r="R4" s="29"/>
      <c r="S4" s="29"/>
      <c r="T4" s="29"/>
      <c r="U4" s="29"/>
      <c r="V4" s="29"/>
      <c r="W4" s="29"/>
      <c r="X4" s="29"/>
      <c r="Y4" s="29"/>
      <c r="Z4" s="29"/>
      <c r="AA4" s="29"/>
      <c r="AB4" s="29"/>
      <c r="AC4" s="29"/>
      <c r="AD4" s="29"/>
      <c r="AE4" s="29"/>
      <c r="AF4" s="29"/>
      <c r="AG4" s="29"/>
      <c r="AH4" s="29"/>
      <c r="AI4" s="29"/>
      <c r="AJ4" s="29"/>
      <c r="AK4" s="29"/>
      <c r="AL4" s="29"/>
      <c r="AM4" s="29"/>
      <c r="AN4" s="29"/>
      <c r="AO4" s="29"/>
      <c r="AP4" s="29"/>
      <c r="AQ4" s="29"/>
      <c r="AR4" s="29"/>
      <c r="AS4" s="30"/>
    </row>
    <row r="5" spans="1:45" ht="120" customHeight="1" thickTop="1" thickBot="1">
      <c r="A5" s="146" t="s">
        <v>5</v>
      </c>
      <c r="B5" s="147" t="s">
        <v>189</v>
      </c>
      <c r="C5" s="126" t="s">
        <v>190</v>
      </c>
      <c r="D5" s="147" t="s">
        <v>191</v>
      </c>
      <c r="E5" s="47" t="s">
        <v>192</v>
      </c>
      <c r="F5" s="37">
        <v>10</v>
      </c>
      <c r="G5" s="29">
        <v>8</v>
      </c>
      <c r="H5" s="29">
        <v>4</v>
      </c>
      <c r="I5" s="29">
        <v>6</v>
      </c>
      <c r="J5" s="29"/>
      <c r="K5" s="29"/>
      <c r="L5" s="29"/>
      <c r="M5" s="29"/>
      <c r="N5" s="29"/>
      <c r="O5" s="29"/>
      <c r="P5" s="29"/>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30"/>
    </row>
    <row r="6" spans="1:45" ht="120" customHeight="1" thickTop="1" thickBot="1">
      <c r="A6" s="182" t="s">
        <v>9</v>
      </c>
      <c r="B6" s="163" t="s">
        <v>193</v>
      </c>
      <c r="C6" s="163" t="s">
        <v>195</v>
      </c>
      <c r="D6" s="163" t="s">
        <v>197</v>
      </c>
      <c r="E6" s="165" t="s">
        <v>199</v>
      </c>
      <c r="F6" s="38">
        <v>10</v>
      </c>
      <c r="G6" s="33">
        <v>8</v>
      </c>
      <c r="H6" s="33">
        <v>4</v>
      </c>
      <c r="I6" s="33">
        <v>6</v>
      </c>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4"/>
    </row>
    <row r="7" spans="1:45" ht="120" customHeight="1" thickTop="1" thickBot="1">
      <c r="A7" s="192"/>
      <c r="B7" s="164" t="s">
        <v>194</v>
      </c>
      <c r="C7" s="164" t="s">
        <v>196</v>
      </c>
      <c r="D7" s="164" t="s">
        <v>198</v>
      </c>
      <c r="E7" s="166" t="s">
        <v>200</v>
      </c>
      <c r="F7" s="39">
        <v>10</v>
      </c>
      <c r="G7" s="35">
        <v>8</v>
      </c>
      <c r="H7" s="35">
        <v>4</v>
      </c>
      <c r="I7" s="35">
        <v>6</v>
      </c>
      <c r="J7" s="35"/>
      <c r="K7" s="35"/>
      <c r="L7" s="35"/>
      <c r="M7" s="35"/>
      <c r="N7" s="35"/>
      <c r="O7" s="35"/>
      <c r="P7" s="35"/>
      <c r="Q7" s="35"/>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6"/>
    </row>
    <row r="8" spans="1:45" ht="120" customHeight="1" thickTop="1" thickBot="1">
      <c r="A8" s="146" t="s">
        <v>182</v>
      </c>
      <c r="B8" s="147" t="s">
        <v>201</v>
      </c>
      <c r="C8" s="167" t="s">
        <v>202</v>
      </c>
      <c r="D8" s="147" t="s">
        <v>203</v>
      </c>
      <c r="E8" s="47" t="s">
        <v>204</v>
      </c>
      <c r="F8" s="52">
        <v>10</v>
      </c>
      <c r="G8" s="53">
        <v>8</v>
      </c>
      <c r="H8" s="53">
        <v>4</v>
      </c>
      <c r="I8" s="53">
        <v>6</v>
      </c>
      <c r="J8" s="53"/>
      <c r="K8" s="53"/>
      <c r="L8" s="53"/>
      <c r="M8" s="53"/>
      <c r="N8" s="53"/>
      <c r="O8" s="53"/>
      <c r="P8" s="53"/>
      <c r="Q8" s="53"/>
      <c r="R8" s="53"/>
      <c r="S8" s="53"/>
      <c r="T8" s="53"/>
      <c r="U8" s="53"/>
      <c r="V8" s="53"/>
      <c r="W8" s="53"/>
      <c r="X8" s="53"/>
      <c r="Y8" s="53"/>
      <c r="Z8" s="53"/>
      <c r="AA8" s="53"/>
      <c r="AB8" s="53"/>
      <c r="AC8" s="53"/>
      <c r="AD8" s="53"/>
      <c r="AE8" s="53"/>
      <c r="AF8" s="53"/>
      <c r="AG8" s="53"/>
      <c r="AH8" s="53"/>
      <c r="AI8" s="53"/>
      <c r="AJ8" s="53"/>
      <c r="AK8" s="53"/>
      <c r="AL8" s="53"/>
      <c r="AM8" s="53"/>
      <c r="AN8" s="53"/>
      <c r="AO8" s="53"/>
      <c r="AP8" s="53"/>
      <c r="AQ8" s="53"/>
      <c r="AR8" s="53"/>
      <c r="AS8" s="54"/>
    </row>
    <row r="9" spans="1:45" ht="120" customHeight="1" thickTop="1" thickBot="1">
      <c r="A9" s="146" t="s">
        <v>2</v>
      </c>
      <c r="B9" s="147" t="s">
        <v>205</v>
      </c>
      <c r="C9" s="167" t="s">
        <v>206</v>
      </c>
      <c r="D9" s="147" t="s">
        <v>207</v>
      </c>
      <c r="E9" s="47" t="s">
        <v>208</v>
      </c>
      <c r="F9" s="37">
        <v>10</v>
      </c>
      <c r="G9" s="29">
        <v>8</v>
      </c>
      <c r="H9" s="29">
        <v>4</v>
      </c>
      <c r="I9" s="29">
        <v>6</v>
      </c>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30"/>
    </row>
    <row r="10" spans="1:45" ht="120" customHeight="1" thickTop="1" thickBot="1">
      <c r="A10" s="161" t="s">
        <v>17</v>
      </c>
      <c r="B10" s="147" t="s">
        <v>209</v>
      </c>
      <c r="C10" s="147" t="s">
        <v>210</v>
      </c>
      <c r="D10" s="147" t="s">
        <v>211</v>
      </c>
      <c r="E10" s="47" t="s">
        <v>212</v>
      </c>
      <c r="F10" s="37">
        <v>10</v>
      </c>
      <c r="G10" s="29">
        <v>8</v>
      </c>
      <c r="H10" s="29">
        <v>4</v>
      </c>
      <c r="I10" s="29">
        <v>6</v>
      </c>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30"/>
    </row>
    <row r="11" spans="1:45" ht="120" customHeight="1" thickTop="1" thickBot="1">
      <c r="A11" s="146" t="s">
        <v>4</v>
      </c>
      <c r="B11" s="147" t="s">
        <v>213</v>
      </c>
      <c r="C11" s="147" t="s">
        <v>214</v>
      </c>
      <c r="D11" s="147" t="s">
        <v>215</v>
      </c>
      <c r="E11" s="47" t="s">
        <v>216</v>
      </c>
      <c r="F11" s="37">
        <v>10</v>
      </c>
      <c r="G11" s="29">
        <v>8</v>
      </c>
      <c r="H11" s="29">
        <v>4</v>
      </c>
      <c r="I11" s="29">
        <v>6</v>
      </c>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30"/>
    </row>
    <row r="12" spans="1:45" ht="120" customHeight="1" thickTop="1">
      <c r="A12" s="190" t="s">
        <v>183</v>
      </c>
      <c r="B12" s="168" t="s">
        <v>217</v>
      </c>
      <c r="C12" s="168" t="s">
        <v>220</v>
      </c>
      <c r="D12" s="168" t="s">
        <v>221</v>
      </c>
      <c r="E12" s="165" t="s">
        <v>223</v>
      </c>
      <c r="F12" s="38">
        <v>10</v>
      </c>
      <c r="G12" s="33">
        <v>8</v>
      </c>
      <c r="H12" s="33">
        <v>4</v>
      </c>
      <c r="I12" s="33">
        <v>6</v>
      </c>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4"/>
    </row>
    <row r="13" spans="1:45" ht="120" customHeight="1" thickBot="1">
      <c r="A13" s="191"/>
      <c r="B13" s="164" t="s">
        <v>218</v>
      </c>
      <c r="C13" s="164" t="s">
        <v>222</v>
      </c>
      <c r="D13" s="164" t="s">
        <v>219</v>
      </c>
      <c r="E13" s="166" t="s">
        <v>224</v>
      </c>
      <c r="F13" s="39">
        <v>10</v>
      </c>
      <c r="G13" s="35">
        <v>8</v>
      </c>
      <c r="H13" s="35">
        <v>4</v>
      </c>
      <c r="I13" s="35">
        <v>6</v>
      </c>
      <c r="J13" s="35"/>
      <c r="K13" s="35"/>
      <c r="L13" s="35"/>
      <c r="M13" s="35"/>
      <c r="N13" s="35"/>
      <c r="O13" s="35"/>
      <c r="P13" s="35"/>
      <c r="Q13" s="35"/>
      <c r="R13" s="35"/>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6"/>
    </row>
    <row r="14" spans="1:45" ht="49.5" customHeight="1" thickTop="1" thickBot="1">
      <c r="A14" s="183" t="s">
        <v>13</v>
      </c>
      <c r="B14" s="184"/>
      <c r="C14" s="184"/>
      <c r="D14" s="184"/>
      <c r="E14" s="185"/>
      <c r="F14" s="42">
        <f t="shared" ref="F14:AS14" si="0">SUM(F4:F13)</f>
        <v>100</v>
      </c>
      <c r="G14" s="27">
        <f t="shared" si="0"/>
        <v>80</v>
      </c>
      <c r="H14" s="27">
        <f t="shared" si="0"/>
        <v>40</v>
      </c>
      <c r="I14" s="27">
        <f t="shared" si="0"/>
        <v>60</v>
      </c>
      <c r="J14" s="27">
        <f t="shared" si="0"/>
        <v>0</v>
      </c>
      <c r="K14" s="27">
        <f t="shared" si="0"/>
        <v>0</v>
      </c>
      <c r="L14" s="27">
        <f t="shared" si="0"/>
        <v>0</v>
      </c>
      <c r="M14" s="27">
        <f t="shared" si="0"/>
        <v>0</v>
      </c>
      <c r="N14" s="27">
        <f t="shared" si="0"/>
        <v>0</v>
      </c>
      <c r="O14" s="27">
        <f t="shared" si="0"/>
        <v>0</v>
      </c>
      <c r="P14" s="27">
        <f t="shared" si="0"/>
        <v>0</v>
      </c>
      <c r="Q14" s="27">
        <f t="shared" si="0"/>
        <v>0</v>
      </c>
      <c r="R14" s="27">
        <f t="shared" si="0"/>
        <v>0</v>
      </c>
      <c r="S14" s="27">
        <f t="shared" si="0"/>
        <v>0</v>
      </c>
      <c r="T14" s="27">
        <f t="shared" si="0"/>
        <v>0</v>
      </c>
      <c r="U14" s="27">
        <f t="shared" si="0"/>
        <v>0</v>
      </c>
      <c r="V14" s="27">
        <f t="shared" si="0"/>
        <v>0</v>
      </c>
      <c r="W14" s="27">
        <f t="shared" si="0"/>
        <v>0</v>
      </c>
      <c r="X14" s="27">
        <f t="shared" si="0"/>
        <v>0</v>
      </c>
      <c r="Y14" s="27">
        <f t="shared" si="0"/>
        <v>0</v>
      </c>
      <c r="Z14" s="27">
        <f t="shared" si="0"/>
        <v>0</v>
      </c>
      <c r="AA14" s="27">
        <f t="shared" si="0"/>
        <v>0</v>
      </c>
      <c r="AB14" s="27">
        <f t="shared" si="0"/>
        <v>0</v>
      </c>
      <c r="AC14" s="27">
        <f t="shared" si="0"/>
        <v>0</v>
      </c>
      <c r="AD14" s="27">
        <f t="shared" si="0"/>
        <v>0</v>
      </c>
      <c r="AE14" s="27">
        <f t="shared" si="0"/>
        <v>0</v>
      </c>
      <c r="AF14" s="27">
        <f t="shared" si="0"/>
        <v>0</v>
      </c>
      <c r="AG14" s="27">
        <f t="shared" si="0"/>
        <v>0</v>
      </c>
      <c r="AH14" s="27">
        <f t="shared" si="0"/>
        <v>0</v>
      </c>
      <c r="AI14" s="27">
        <f t="shared" si="0"/>
        <v>0</v>
      </c>
      <c r="AJ14" s="27">
        <f t="shared" si="0"/>
        <v>0</v>
      </c>
      <c r="AK14" s="27">
        <f t="shared" si="0"/>
        <v>0</v>
      </c>
      <c r="AL14" s="27">
        <f t="shared" si="0"/>
        <v>0</v>
      </c>
      <c r="AM14" s="27">
        <f t="shared" si="0"/>
        <v>0</v>
      </c>
      <c r="AN14" s="27">
        <f t="shared" si="0"/>
        <v>0</v>
      </c>
      <c r="AO14" s="27">
        <f t="shared" si="0"/>
        <v>0</v>
      </c>
      <c r="AP14" s="27">
        <f t="shared" si="0"/>
        <v>0</v>
      </c>
      <c r="AQ14" s="27">
        <f t="shared" si="0"/>
        <v>0</v>
      </c>
      <c r="AR14" s="27">
        <f t="shared" si="0"/>
        <v>0</v>
      </c>
      <c r="AS14" s="28">
        <f t="shared" si="0"/>
        <v>0</v>
      </c>
    </row>
    <row r="15" spans="1:45" ht="30.75" customHeight="1" thickTop="1">
      <c r="A15" s="162" t="s">
        <v>72</v>
      </c>
    </row>
    <row r="16" spans="1:45" ht="18.75" customHeight="1">
      <c r="AJ16" s="174" t="s">
        <v>47</v>
      </c>
      <c r="AK16" s="174"/>
      <c r="AL16" s="174"/>
      <c r="AM16" s="174"/>
      <c r="AN16" s="174"/>
      <c r="AO16" s="174"/>
      <c r="AP16" s="174"/>
      <c r="AQ16" s="174"/>
      <c r="AR16" s="174"/>
      <c r="AS16" s="174"/>
    </row>
    <row r="17" spans="36:45" ht="14.25" customHeight="1"/>
    <row r="18" spans="36:45" ht="14.25" customHeight="1"/>
    <row r="19" spans="36:45" ht="14.25" customHeight="1"/>
    <row r="20" spans="36:45" ht="18" customHeight="1">
      <c r="AJ20" s="173" t="s">
        <v>225</v>
      </c>
      <c r="AK20" s="173"/>
      <c r="AL20" s="173"/>
      <c r="AM20" s="173"/>
      <c r="AN20" s="173"/>
      <c r="AO20" s="173"/>
      <c r="AP20" s="173"/>
      <c r="AQ20" s="173"/>
      <c r="AR20" s="173"/>
      <c r="AS20" s="173"/>
    </row>
    <row r="21" spans="36:45" ht="22.5" customHeight="1">
      <c r="AJ21" s="173" t="s">
        <v>39</v>
      </c>
      <c r="AK21" s="173"/>
      <c r="AL21" s="173"/>
      <c r="AM21" s="173"/>
      <c r="AN21" s="173"/>
      <c r="AO21" s="173"/>
      <c r="AP21" s="173"/>
      <c r="AQ21" s="173"/>
      <c r="AR21" s="173"/>
      <c r="AS21" s="173"/>
    </row>
    <row r="22" spans="36:45" ht="14.25" customHeight="1"/>
    <row r="23" spans="36:45" ht="14.25" customHeight="1"/>
    <row r="24" spans="36:45" ht="14.25" customHeight="1"/>
    <row r="25" spans="36:45" ht="14.25" customHeight="1"/>
    <row r="26" spans="36:45" ht="14.25" customHeight="1"/>
    <row r="27" spans="36:45" ht="14.25" customHeight="1"/>
    <row r="28" spans="36:45" ht="14.25" customHeight="1"/>
    <row r="29" spans="36:45" ht="14.25" customHeight="1"/>
    <row r="30" spans="36:45" ht="14.25" customHeight="1"/>
    <row r="31" spans="36:45" ht="14.25" customHeight="1"/>
    <row r="32" spans="36:45"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sheetData>
  <mergeCells count="8">
    <mergeCell ref="A1:AS1"/>
    <mergeCell ref="A14:E14"/>
    <mergeCell ref="A12:A13"/>
    <mergeCell ref="AJ20:AS20"/>
    <mergeCell ref="AJ21:AS21"/>
    <mergeCell ref="AJ16:AS16"/>
    <mergeCell ref="A6:A7"/>
    <mergeCell ref="A2:AS2"/>
  </mergeCells>
  <pageMargins left="0.39370078740157483" right="0.19685039370078741" top="0.55118110236220474" bottom="0" header="0" footer="0"/>
  <pageSetup scale="32"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I1000"/>
  <sheetViews>
    <sheetView showGridLines="0" topLeftCell="A4" workbookViewId="0">
      <selection activeCell="E53" sqref="E53"/>
    </sheetView>
  </sheetViews>
  <sheetFormatPr defaultColWidth="12.625" defaultRowHeight="15" customHeight="1"/>
  <cols>
    <col min="1" max="1" width="0.375" customWidth="1"/>
    <col min="2" max="2" width="9.125" style="55" customWidth="1"/>
    <col min="3" max="3" width="13.75" style="55" customWidth="1"/>
    <col min="4" max="4" width="43.625" customWidth="1"/>
    <col min="5" max="5" width="18.125" customWidth="1"/>
    <col min="6" max="6" width="15.625" customWidth="1"/>
    <col min="7" max="7" width="15.5" customWidth="1"/>
    <col min="8" max="8" width="14.5" customWidth="1"/>
    <col min="9" max="9" width="28.25" customWidth="1"/>
    <col min="10" max="26" width="8.625" customWidth="1"/>
  </cols>
  <sheetData>
    <row r="1" spans="2:9" ht="54" customHeight="1" thickTop="1" thickBot="1">
      <c r="B1" s="195" t="s">
        <v>240</v>
      </c>
      <c r="C1" s="195"/>
      <c r="D1" s="195"/>
      <c r="E1" s="195"/>
      <c r="F1" s="195"/>
      <c r="G1" s="195"/>
      <c r="H1" s="195"/>
      <c r="I1" s="195"/>
    </row>
    <row r="2" spans="2:9" ht="69.75" customHeight="1" thickTop="1" thickBot="1">
      <c r="B2" s="194" t="s">
        <v>63</v>
      </c>
      <c r="C2" s="194"/>
      <c r="D2" s="194"/>
      <c r="E2" s="194"/>
      <c r="F2" s="194"/>
      <c r="G2" s="194"/>
      <c r="H2" s="194"/>
      <c r="I2" s="194"/>
    </row>
    <row r="3" spans="2:9" ht="112.5" customHeight="1" thickTop="1" thickBot="1">
      <c r="B3" s="8" t="s">
        <v>40</v>
      </c>
      <c r="C3" s="8" t="s">
        <v>41</v>
      </c>
      <c r="D3" s="9" t="s">
        <v>42</v>
      </c>
      <c r="E3" s="43" t="s">
        <v>57</v>
      </c>
      <c r="F3" s="43" t="s">
        <v>58</v>
      </c>
      <c r="G3" s="43" t="s">
        <v>59</v>
      </c>
      <c r="H3" s="43" t="s">
        <v>60</v>
      </c>
      <c r="I3" s="115" t="s">
        <v>48</v>
      </c>
    </row>
    <row r="4" spans="2:9" ht="30" customHeight="1" thickTop="1">
      <c r="B4" s="56">
        <v>1</v>
      </c>
      <c r="C4" s="56">
        <f>'Öğrenci Bilgileri'!C4</f>
        <v>58</v>
      </c>
      <c r="D4" s="57" t="str">
        <f>'Öğrenci Bilgileri'!D4</f>
        <v>EKREM YEKREK</v>
      </c>
      <c r="E4" s="58">
        <f ca="1">ROUND(OFFSET('1. Tema Konuşma'!$F$14, 0, ROW(A1)-1) * (25/ 100), 0)</f>
        <v>25</v>
      </c>
      <c r="F4" s="58">
        <f ca="1">ROUND(OFFSET('2. Tema Konuşma'!$F$14, 0, ROW(A1)-1) * (25 / 100), 0)</f>
        <v>25</v>
      </c>
      <c r="G4" s="58">
        <f ca="1">ROUND(OFFSET('1. Tema Yazma'!$F$13, 0, ROW(A1)-1) * (25 / 100), 0)</f>
        <v>25</v>
      </c>
      <c r="H4" s="58">
        <f ca="1">ROUND(OFFSET('2. Tema Yazma'!$F$14, 0, ROW(A1)-1) * (25 / 100), 0)</f>
        <v>25</v>
      </c>
      <c r="I4" s="116">
        <f ca="1">SUM(E4:H4)</f>
        <v>100</v>
      </c>
    </row>
    <row r="5" spans="2:9" ht="30" customHeight="1">
      <c r="B5" s="59">
        <v>2</v>
      </c>
      <c r="C5" s="59">
        <f>'Öğrenci Bilgileri'!C5</f>
        <v>60</v>
      </c>
      <c r="D5" s="60" t="str">
        <f>'Öğrenci Bilgileri'!D5</f>
        <v>SAMİ İL</v>
      </c>
      <c r="E5" s="58">
        <f ca="1">ROUND(OFFSET('1. Tema Konuşma'!$F$14, 0, ROW(A2)-1) * (25/ 100), 0)</f>
        <v>20</v>
      </c>
      <c r="F5" s="58">
        <f ca="1">ROUND(OFFSET('2. Tema Konuşma'!$F$14, 0, ROW(A2)-1) * (25 / 100), 0)</f>
        <v>20</v>
      </c>
      <c r="G5" s="58">
        <f ca="1">ROUND(OFFSET('1. Tema Yazma'!$F$13, 0, ROW(A2)-1) * (25 / 100), 0)</f>
        <v>20</v>
      </c>
      <c r="H5" s="58">
        <f ca="1">ROUND(OFFSET('2. Tema Yazma'!$F$14, 0, ROW(A2)-1) * (25 / 100), 0)</f>
        <v>20</v>
      </c>
      <c r="I5" s="116">
        <f t="shared" ref="I5:I43" ca="1" si="0">SUM(E5:H5)</f>
        <v>80</v>
      </c>
    </row>
    <row r="6" spans="2:9" ht="30" customHeight="1">
      <c r="B6" s="59">
        <v>3</v>
      </c>
      <c r="C6" s="59">
        <f>'Öğrenci Bilgileri'!C6</f>
        <v>65</v>
      </c>
      <c r="D6" s="60" t="str">
        <f>'Öğrenci Bilgileri'!D6</f>
        <v>AHMET ÖZBAHAR</v>
      </c>
      <c r="E6" s="58">
        <f ca="1">ROUND(OFFSET('1. Tema Konuşma'!$F$14, 0, ROW(A3)-1) * (25/ 100), 0)</f>
        <v>15</v>
      </c>
      <c r="F6" s="58">
        <f ca="1">ROUND(OFFSET('2. Tema Konuşma'!$F$14, 0, ROW(A3)-1) * (25 / 100), 0)</f>
        <v>10</v>
      </c>
      <c r="G6" s="58">
        <f ca="1">ROUND(OFFSET('1. Tema Yazma'!$F$13, 0, ROW(A3)-1) * (25 / 100), 0)</f>
        <v>10</v>
      </c>
      <c r="H6" s="58">
        <f ca="1">ROUND(OFFSET('2. Tema Yazma'!$F$14, 0, ROW(A3)-1) * (25 / 100), 0)</f>
        <v>10</v>
      </c>
      <c r="I6" s="116">
        <f t="shared" ca="1" si="0"/>
        <v>45</v>
      </c>
    </row>
    <row r="7" spans="2:9" ht="30" customHeight="1">
      <c r="B7" s="59">
        <v>4</v>
      </c>
      <c r="C7" s="59">
        <f>'Öğrenci Bilgileri'!C7</f>
        <v>70</v>
      </c>
      <c r="D7" s="60" t="str">
        <f>'Öğrenci Bilgileri'!D7</f>
        <v>FATMA ŞENGÜL</v>
      </c>
      <c r="E7" s="58">
        <f ca="1">ROUND(OFFSET('1. Tema Konuşma'!$F$14, 0, ROW(A4)-1) * (25/ 100), 0)</f>
        <v>10</v>
      </c>
      <c r="F7" s="58">
        <f ca="1">ROUND(OFFSET('2. Tema Konuşma'!$F$14, 0, ROW(A4)-1) * (25 / 100), 0)</f>
        <v>15</v>
      </c>
      <c r="G7" s="58">
        <f ca="1">ROUND(OFFSET('1. Tema Yazma'!$F$13, 0, ROW(A4)-1) * (25 / 100), 0)</f>
        <v>15</v>
      </c>
      <c r="H7" s="58">
        <f ca="1">ROUND(OFFSET('2. Tema Yazma'!$F$14, 0, ROW(A4)-1) * (25 / 100), 0)</f>
        <v>15</v>
      </c>
      <c r="I7" s="116">
        <f t="shared" ca="1" si="0"/>
        <v>55</v>
      </c>
    </row>
    <row r="8" spans="2:9" ht="30" customHeight="1">
      <c r="B8" s="59">
        <v>5</v>
      </c>
      <c r="C8" s="59">
        <f>'Öğrenci Bilgileri'!C8</f>
        <v>80</v>
      </c>
      <c r="D8" s="60" t="str">
        <f>'Öğrenci Bilgileri'!D8</f>
        <v>GÖNÜL KORKUT</v>
      </c>
      <c r="E8" s="58">
        <f ca="1">ROUND(OFFSET('1. Tema Konuşma'!$F$14, 0, ROW(A5)-1) * (25/ 100), 0)</f>
        <v>0</v>
      </c>
      <c r="F8" s="58">
        <f ca="1">ROUND(OFFSET('2. Tema Konuşma'!$F$14, 0, ROW(A5)-1) * (25 / 100), 0)</f>
        <v>0</v>
      </c>
      <c r="G8" s="58">
        <f ca="1">ROUND(OFFSET('1. Tema Yazma'!$F$13, 0, ROW(A5)-1) * (25 / 100), 0)</f>
        <v>0</v>
      </c>
      <c r="H8" s="58">
        <f ca="1">ROUND(OFFSET('2. Tema Yazma'!$F$14, 0, ROW(A5)-1) * (25 / 100), 0)</f>
        <v>0</v>
      </c>
      <c r="I8" s="116">
        <f t="shared" ca="1" si="0"/>
        <v>0</v>
      </c>
    </row>
    <row r="9" spans="2:9" ht="30" customHeight="1">
      <c r="B9" s="59">
        <v>6</v>
      </c>
      <c r="C9" s="59">
        <f>'Öğrenci Bilgileri'!C9</f>
        <v>95</v>
      </c>
      <c r="D9" s="60" t="str">
        <f>'Öğrenci Bilgileri'!D9</f>
        <v>MEHMET TANER</v>
      </c>
      <c r="E9" s="58">
        <f ca="1">ROUND(OFFSET('1. Tema Konuşma'!$F$14, 0, ROW(A6)-1) * (25/ 100), 0)</f>
        <v>0</v>
      </c>
      <c r="F9" s="58">
        <f ca="1">ROUND(OFFSET('2. Tema Konuşma'!$F$14, 0, ROW(A6)-1) * (25 / 100), 0)</f>
        <v>0</v>
      </c>
      <c r="G9" s="58">
        <f ca="1">ROUND(OFFSET('1. Tema Yazma'!$F$13, 0, ROW(A6)-1) * (25 / 100), 0)</f>
        <v>0</v>
      </c>
      <c r="H9" s="58">
        <f ca="1">ROUND(OFFSET('2. Tema Yazma'!$F$14, 0, ROW(A6)-1) * (25 / 100), 0)</f>
        <v>0</v>
      </c>
      <c r="I9" s="116">
        <f t="shared" ca="1" si="0"/>
        <v>0</v>
      </c>
    </row>
    <row r="10" spans="2:9" ht="30" customHeight="1">
      <c r="B10" s="59">
        <v>7</v>
      </c>
      <c r="C10" s="59">
        <f>'Öğrenci Bilgileri'!C10</f>
        <v>100</v>
      </c>
      <c r="D10" s="60" t="str">
        <f>'Öğrenci Bilgileri'!D10</f>
        <v>HARUN DERİN</v>
      </c>
      <c r="E10" s="58">
        <f ca="1">ROUND(OFFSET('1. Tema Konuşma'!$F$14, 0, ROW(A7)-1) * (25/ 100), 0)</f>
        <v>0</v>
      </c>
      <c r="F10" s="58">
        <f ca="1">ROUND(OFFSET('2. Tema Konuşma'!$F$14, 0, ROW(A7)-1) * (25 / 100), 0)</f>
        <v>0</v>
      </c>
      <c r="G10" s="58">
        <f ca="1">ROUND(OFFSET('1. Tema Yazma'!$F$13, 0, ROW(A7)-1) * (25 / 100), 0)</f>
        <v>0</v>
      </c>
      <c r="H10" s="58">
        <f ca="1">ROUND(OFFSET('2. Tema Yazma'!$F$14, 0, ROW(A7)-1) * (25 / 100), 0)</f>
        <v>0</v>
      </c>
      <c r="I10" s="116">
        <f t="shared" ca="1" si="0"/>
        <v>0</v>
      </c>
    </row>
    <row r="11" spans="2:9" ht="30" customHeight="1">
      <c r="B11" s="59">
        <v>8</v>
      </c>
      <c r="C11" s="59">
        <f>'Öğrenci Bilgileri'!C11</f>
        <v>115</v>
      </c>
      <c r="D11" s="60" t="str">
        <f>'Öğrenci Bilgileri'!D11</f>
        <v>MERVE KAMALAK</v>
      </c>
      <c r="E11" s="58">
        <f ca="1">ROUND(OFFSET('1. Tema Konuşma'!$F$14, 0, ROW(A8)-1) * (25/ 100), 0)</f>
        <v>0</v>
      </c>
      <c r="F11" s="58">
        <f ca="1">ROUND(OFFSET('2. Tema Konuşma'!$F$14, 0, ROW(A8)-1) * (25 / 100), 0)</f>
        <v>0</v>
      </c>
      <c r="G11" s="58">
        <f ca="1">ROUND(OFFSET('1. Tema Yazma'!$F$13, 0, ROW(A8)-1) * (25 / 100), 0)</f>
        <v>0</v>
      </c>
      <c r="H11" s="58">
        <f ca="1">ROUND(OFFSET('2. Tema Yazma'!$F$14, 0, ROW(A8)-1) * (25 / 100), 0)</f>
        <v>0</v>
      </c>
      <c r="I11" s="116">
        <f t="shared" ca="1" si="0"/>
        <v>0</v>
      </c>
    </row>
    <row r="12" spans="2:9" ht="30" customHeight="1">
      <c r="B12" s="59">
        <v>9</v>
      </c>
      <c r="C12" s="59">
        <f>'Öğrenci Bilgileri'!C12</f>
        <v>200</v>
      </c>
      <c r="D12" s="60" t="str">
        <f>'Öğrenci Bilgileri'!D12</f>
        <v>ÜMRAN AYKIŞ</v>
      </c>
      <c r="E12" s="58">
        <f ca="1">ROUND(OFFSET('1. Tema Konuşma'!$F$14, 0, ROW(A9)-1) * (25/ 100), 0)</f>
        <v>0</v>
      </c>
      <c r="F12" s="58">
        <f ca="1">ROUND(OFFSET('2. Tema Konuşma'!$F$14, 0, ROW(A9)-1) * (25 / 100), 0)</f>
        <v>0</v>
      </c>
      <c r="G12" s="58">
        <f ca="1">ROUND(OFFSET('1. Tema Yazma'!$F$13, 0, ROW(A9)-1) * (25 / 100), 0)</f>
        <v>0</v>
      </c>
      <c r="H12" s="58">
        <f ca="1">ROUND(OFFSET('2. Tema Yazma'!$F$14, 0, ROW(A9)-1) * (25 / 100), 0)</f>
        <v>0</v>
      </c>
      <c r="I12" s="116">
        <f t="shared" ca="1" si="0"/>
        <v>0</v>
      </c>
    </row>
    <row r="13" spans="2:9" ht="30" customHeight="1">
      <c r="B13" s="59">
        <v>10</v>
      </c>
      <c r="C13" s="59">
        <f>'Öğrenci Bilgileri'!C13</f>
        <v>215</v>
      </c>
      <c r="D13" s="60" t="str">
        <f>'Öğrenci Bilgileri'!D13</f>
        <v>IŞIL ÖZLER</v>
      </c>
      <c r="E13" s="58">
        <f ca="1">ROUND(OFFSET('1. Tema Konuşma'!$F$14, 0, ROW(A10)-1) * (25/ 100), 0)</f>
        <v>0</v>
      </c>
      <c r="F13" s="58">
        <f ca="1">ROUND(OFFSET('2. Tema Konuşma'!$F$14, 0, ROW(A10)-1) * (25 / 100), 0)</f>
        <v>0</v>
      </c>
      <c r="G13" s="58">
        <f ca="1">ROUND(OFFSET('1. Tema Yazma'!$F$13, 0, ROW(A10)-1) * (25 / 100), 0)</f>
        <v>0</v>
      </c>
      <c r="H13" s="58">
        <f ca="1">ROUND(OFFSET('2. Tema Yazma'!$F$14, 0, ROW(A10)-1) * (25 / 100), 0)</f>
        <v>0</v>
      </c>
      <c r="I13" s="116">
        <f t="shared" ca="1" si="0"/>
        <v>0</v>
      </c>
    </row>
    <row r="14" spans="2:9" ht="30" customHeight="1">
      <c r="B14" s="59">
        <v>11</v>
      </c>
      <c r="C14" s="59">
        <f>'Öğrenci Bilgileri'!C14</f>
        <v>0</v>
      </c>
      <c r="D14" s="60">
        <f>'Öğrenci Bilgileri'!D14</f>
        <v>0</v>
      </c>
      <c r="E14" s="58">
        <f ca="1">ROUND(OFFSET('1. Tema Konuşma'!$F$14, 0, ROW(A11)-1) * (25/ 100), 0)</f>
        <v>0</v>
      </c>
      <c r="F14" s="58">
        <f ca="1">ROUND(OFFSET('2. Tema Konuşma'!$F$14, 0, ROW(A11)-1) * (25 / 100), 0)</f>
        <v>0</v>
      </c>
      <c r="G14" s="58">
        <f ca="1">ROUND(OFFSET('1. Tema Yazma'!$F$13, 0, ROW(A11)-1) * (25 / 100), 0)</f>
        <v>0</v>
      </c>
      <c r="H14" s="58">
        <f ca="1">ROUND(OFFSET('2. Tema Yazma'!$F$14, 0, ROW(A11)-1) * (25 / 100), 0)</f>
        <v>0</v>
      </c>
      <c r="I14" s="116">
        <f t="shared" ca="1" si="0"/>
        <v>0</v>
      </c>
    </row>
    <row r="15" spans="2:9" ht="30" customHeight="1">
      <c r="B15" s="59">
        <v>12</v>
      </c>
      <c r="C15" s="59">
        <f>'Öğrenci Bilgileri'!C15</f>
        <v>0</v>
      </c>
      <c r="D15" s="60">
        <f>'Öğrenci Bilgileri'!D15</f>
        <v>0</v>
      </c>
      <c r="E15" s="58">
        <f ca="1">ROUND(OFFSET('1. Tema Konuşma'!$F$14, 0, ROW(A12)-1) * (25/ 100), 0)</f>
        <v>0</v>
      </c>
      <c r="F15" s="58">
        <f ca="1">ROUND(OFFSET('2. Tema Konuşma'!$F$14, 0, ROW(A12)-1) * (25 / 100), 0)</f>
        <v>0</v>
      </c>
      <c r="G15" s="58">
        <f ca="1">ROUND(OFFSET('1. Tema Yazma'!$F$13, 0, ROW(A12)-1) * (25 / 100), 0)</f>
        <v>0</v>
      </c>
      <c r="H15" s="58">
        <f ca="1">ROUND(OFFSET('2. Tema Yazma'!$F$14, 0, ROW(A12)-1) * (25 / 100), 0)</f>
        <v>0</v>
      </c>
      <c r="I15" s="116">
        <f t="shared" ca="1" si="0"/>
        <v>0</v>
      </c>
    </row>
    <row r="16" spans="2:9" ht="30" customHeight="1">
      <c r="B16" s="59">
        <v>13</v>
      </c>
      <c r="C16" s="59">
        <f>'Öğrenci Bilgileri'!C16</f>
        <v>0</v>
      </c>
      <c r="D16" s="60">
        <f>'Öğrenci Bilgileri'!D16</f>
        <v>0</v>
      </c>
      <c r="E16" s="58">
        <f ca="1">ROUND(OFFSET('1. Tema Konuşma'!$F$14, 0, ROW(A13)-1) * (25/ 100), 0)</f>
        <v>0</v>
      </c>
      <c r="F16" s="58">
        <f ca="1">ROUND(OFFSET('2. Tema Konuşma'!$F$14, 0, ROW(A13)-1) * (25 / 100), 0)</f>
        <v>0</v>
      </c>
      <c r="G16" s="58">
        <f ca="1">ROUND(OFFSET('1. Tema Yazma'!$F$13, 0, ROW(A13)-1) * (25 / 100), 0)</f>
        <v>0</v>
      </c>
      <c r="H16" s="58">
        <f ca="1">ROUND(OFFSET('2. Tema Yazma'!$F$14, 0, ROW(A13)-1) * (25 / 100), 0)</f>
        <v>0</v>
      </c>
      <c r="I16" s="116">
        <f t="shared" ca="1" si="0"/>
        <v>0</v>
      </c>
    </row>
    <row r="17" spans="2:9" ht="30" customHeight="1">
      <c r="B17" s="59">
        <v>14</v>
      </c>
      <c r="C17" s="59">
        <f>'Öğrenci Bilgileri'!C17</f>
        <v>0</v>
      </c>
      <c r="D17" s="60">
        <f>'Öğrenci Bilgileri'!D17</f>
        <v>0</v>
      </c>
      <c r="E17" s="58">
        <f ca="1">ROUND(OFFSET('1. Tema Konuşma'!$F$14, 0, ROW(A14)-1) * (25/ 100), 0)</f>
        <v>0</v>
      </c>
      <c r="F17" s="58">
        <f ca="1">ROUND(OFFSET('2. Tema Konuşma'!$F$14, 0, ROW(A14)-1) * (25 / 100), 0)</f>
        <v>0</v>
      </c>
      <c r="G17" s="58">
        <f ca="1">ROUND(OFFSET('1. Tema Yazma'!$F$13, 0, ROW(A14)-1) * (25 / 100), 0)</f>
        <v>0</v>
      </c>
      <c r="H17" s="58">
        <f ca="1">ROUND(OFFSET('2. Tema Yazma'!$F$14, 0, ROW(A14)-1) * (25 / 100), 0)</f>
        <v>0</v>
      </c>
      <c r="I17" s="116">
        <f t="shared" ca="1" si="0"/>
        <v>0</v>
      </c>
    </row>
    <row r="18" spans="2:9" ht="30" customHeight="1">
      <c r="B18" s="59">
        <v>15</v>
      </c>
      <c r="C18" s="59">
        <f>'Öğrenci Bilgileri'!C18</f>
        <v>0</v>
      </c>
      <c r="D18" s="60">
        <f>'Öğrenci Bilgileri'!D18</f>
        <v>0</v>
      </c>
      <c r="E18" s="58">
        <f ca="1">ROUND(OFFSET('1. Tema Konuşma'!$F$14, 0, ROW(A15)-1) * (25/ 100), 0)</f>
        <v>0</v>
      </c>
      <c r="F18" s="58">
        <f ca="1">ROUND(OFFSET('2. Tema Konuşma'!$F$14, 0, ROW(A15)-1) * (25 / 100), 0)</f>
        <v>0</v>
      </c>
      <c r="G18" s="58">
        <f ca="1">ROUND(OFFSET('1. Tema Yazma'!$F$13, 0, ROW(A15)-1) * (25 / 100), 0)</f>
        <v>0</v>
      </c>
      <c r="H18" s="58">
        <f ca="1">ROUND(OFFSET('2. Tema Yazma'!$F$14, 0, ROW(A15)-1) * (25 / 100), 0)</f>
        <v>0</v>
      </c>
      <c r="I18" s="116">
        <f t="shared" ca="1" si="0"/>
        <v>0</v>
      </c>
    </row>
    <row r="19" spans="2:9" ht="30" customHeight="1">
      <c r="B19" s="59">
        <v>16</v>
      </c>
      <c r="C19" s="59">
        <f>'Öğrenci Bilgileri'!C19</f>
        <v>0</v>
      </c>
      <c r="D19" s="60">
        <f>'Öğrenci Bilgileri'!D19</f>
        <v>0</v>
      </c>
      <c r="E19" s="58">
        <f ca="1">ROUND(OFFSET('1. Tema Konuşma'!$F$14, 0, ROW(A16)-1) * (25/ 100), 0)</f>
        <v>0</v>
      </c>
      <c r="F19" s="58">
        <f ca="1">ROUND(OFFSET('2. Tema Konuşma'!$F$14, 0, ROW(A16)-1) * (25 / 100), 0)</f>
        <v>0</v>
      </c>
      <c r="G19" s="58">
        <f ca="1">ROUND(OFFSET('1. Tema Yazma'!$F$13, 0, ROW(A16)-1) * (25 / 100), 0)</f>
        <v>0</v>
      </c>
      <c r="H19" s="58">
        <f ca="1">ROUND(OFFSET('2. Tema Yazma'!$F$14, 0, ROW(A16)-1) * (25 / 100), 0)</f>
        <v>0</v>
      </c>
      <c r="I19" s="116">
        <f t="shared" ca="1" si="0"/>
        <v>0</v>
      </c>
    </row>
    <row r="20" spans="2:9" ht="30" customHeight="1">
      <c r="B20" s="59">
        <v>17</v>
      </c>
      <c r="C20" s="59">
        <f>'Öğrenci Bilgileri'!C20</f>
        <v>0</v>
      </c>
      <c r="D20" s="60">
        <f>'Öğrenci Bilgileri'!D20</f>
        <v>0</v>
      </c>
      <c r="E20" s="58">
        <f ca="1">ROUND(OFFSET('1. Tema Konuşma'!$F$14, 0, ROW(A17)-1) * (25/ 100), 0)</f>
        <v>0</v>
      </c>
      <c r="F20" s="58">
        <f ca="1">ROUND(OFFSET('2. Tema Konuşma'!$F$14, 0, ROW(A17)-1) * (25 / 100), 0)</f>
        <v>0</v>
      </c>
      <c r="G20" s="58">
        <f ca="1">ROUND(OFFSET('1. Tema Yazma'!$F$13, 0, ROW(A17)-1) * (25 / 100), 0)</f>
        <v>0</v>
      </c>
      <c r="H20" s="58">
        <f ca="1">ROUND(OFFSET('2. Tema Yazma'!$F$14, 0, ROW(A17)-1) * (25 / 100), 0)</f>
        <v>0</v>
      </c>
      <c r="I20" s="116">
        <f t="shared" ca="1" si="0"/>
        <v>0</v>
      </c>
    </row>
    <row r="21" spans="2:9" ht="30" customHeight="1">
      <c r="B21" s="59">
        <v>18</v>
      </c>
      <c r="C21" s="59">
        <f>'Öğrenci Bilgileri'!C21</f>
        <v>0</v>
      </c>
      <c r="D21" s="60">
        <f>'Öğrenci Bilgileri'!D21</f>
        <v>0</v>
      </c>
      <c r="E21" s="58">
        <f ca="1">ROUND(OFFSET('1. Tema Konuşma'!$F$14, 0, ROW(A18)-1) * (25/ 100), 0)</f>
        <v>0</v>
      </c>
      <c r="F21" s="58">
        <f ca="1">ROUND(OFFSET('2. Tema Konuşma'!$F$14, 0, ROW(A18)-1) * (25 / 100), 0)</f>
        <v>0</v>
      </c>
      <c r="G21" s="58">
        <f ca="1">ROUND(OFFSET('1. Tema Yazma'!$F$13, 0, ROW(A18)-1) * (25 / 100), 0)</f>
        <v>0</v>
      </c>
      <c r="H21" s="58">
        <f ca="1">ROUND(OFFSET('2. Tema Yazma'!$F$14, 0, ROW(A18)-1) * (25 / 100), 0)</f>
        <v>0</v>
      </c>
      <c r="I21" s="116">
        <f t="shared" ca="1" si="0"/>
        <v>0</v>
      </c>
    </row>
    <row r="22" spans="2:9" ht="30" customHeight="1">
      <c r="B22" s="59">
        <v>19</v>
      </c>
      <c r="C22" s="59">
        <f>'Öğrenci Bilgileri'!C22</f>
        <v>0</v>
      </c>
      <c r="D22" s="60">
        <f>'Öğrenci Bilgileri'!D22</f>
        <v>0</v>
      </c>
      <c r="E22" s="58">
        <f ca="1">ROUND(OFFSET('1. Tema Konuşma'!$F$14, 0, ROW(A19)-1) * (25/ 100), 0)</f>
        <v>0</v>
      </c>
      <c r="F22" s="58">
        <f ca="1">ROUND(OFFSET('2. Tema Konuşma'!$F$14, 0, ROW(A19)-1) * (25 / 100), 0)</f>
        <v>0</v>
      </c>
      <c r="G22" s="58">
        <f ca="1">ROUND(OFFSET('1. Tema Yazma'!$F$13, 0, ROW(A19)-1) * (25 / 100), 0)</f>
        <v>0</v>
      </c>
      <c r="H22" s="58">
        <f ca="1">ROUND(OFFSET('2. Tema Yazma'!$F$14, 0, ROW(A19)-1) * (25 / 100), 0)</f>
        <v>0</v>
      </c>
      <c r="I22" s="116">
        <f t="shared" ca="1" si="0"/>
        <v>0</v>
      </c>
    </row>
    <row r="23" spans="2:9" ht="30" customHeight="1">
      <c r="B23" s="59">
        <v>20</v>
      </c>
      <c r="C23" s="59">
        <f>'Öğrenci Bilgileri'!C23</f>
        <v>0</v>
      </c>
      <c r="D23" s="60">
        <f>'Öğrenci Bilgileri'!D23</f>
        <v>0</v>
      </c>
      <c r="E23" s="58">
        <f ca="1">ROUND(OFFSET('1. Tema Konuşma'!$F$14, 0, ROW(A20)-1) * (25/ 100), 0)</f>
        <v>0</v>
      </c>
      <c r="F23" s="58">
        <f ca="1">ROUND(OFFSET('2. Tema Konuşma'!$F$14, 0, ROW(A20)-1) * (25 / 100), 0)</f>
        <v>0</v>
      </c>
      <c r="G23" s="58">
        <f ca="1">ROUND(OFFSET('1. Tema Yazma'!$F$13, 0, ROW(A20)-1) * (25 / 100), 0)</f>
        <v>0</v>
      </c>
      <c r="H23" s="58">
        <f ca="1">ROUND(OFFSET('2. Tema Yazma'!$F$14, 0, ROW(A20)-1) * (25 / 100), 0)</f>
        <v>0</v>
      </c>
      <c r="I23" s="116">
        <f t="shared" ca="1" si="0"/>
        <v>0</v>
      </c>
    </row>
    <row r="24" spans="2:9" ht="30" customHeight="1">
      <c r="B24" s="59">
        <v>21</v>
      </c>
      <c r="C24" s="59">
        <f>'Öğrenci Bilgileri'!C24</f>
        <v>0</v>
      </c>
      <c r="D24" s="60">
        <f>'Öğrenci Bilgileri'!D24</f>
        <v>0</v>
      </c>
      <c r="E24" s="58">
        <f ca="1">ROUND(OFFSET('1. Tema Konuşma'!$F$14, 0, ROW(A21)-1) * (25/ 100), 0)</f>
        <v>0</v>
      </c>
      <c r="F24" s="58">
        <f ca="1">ROUND(OFFSET('2. Tema Konuşma'!$F$14, 0, ROW(A21)-1) * (25 / 100), 0)</f>
        <v>0</v>
      </c>
      <c r="G24" s="58">
        <f ca="1">ROUND(OFFSET('1. Tema Yazma'!$F$13, 0, ROW(A21)-1) * (25 / 100), 0)</f>
        <v>0</v>
      </c>
      <c r="H24" s="58">
        <f ca="1">ROUND(OFFSET('2. Tema Yazma'!$F$14, 0, ROW(A21)-1) * (25 / 100), 0)</f>
        <v>0</v>
      </c>
      <c r="I24" s="116">
        <f t="shared" ca="1" si="0"/>
        <v>0</v>
      </c>
    </row>
    <row r="25" spans="2:9" ht="30" customHeight="1">
      <c r="B25" s="59">
        <v>22</v>
      </c>
      <c r="C25" s="59">
        <f>'Öğrenci Bilgileri'!C25</f>
        <v>0</v>
      </c>
      <c r="D25" s="60">
        <f>'Öğrenci Bilgileri'!D25</f>
        <v>0</v>
      </c>
      <c r="E25" s="58">
        <f ca="1">ROUND(OFFSET('1. Tema Konuşma'!$F$14, 0, ROW(A22)-1) * (25/ 100), 0)</f>
        <v>0</v>
      </c>
      <c r="F25" s="58">
        <f ca="1">ROUND(OFFSET('2. Tema Konuşma'!$F$14, 0, ROW(A22)-1) * (25 / 100), 0)</f>
        <v>0</v>
      </c>
      <c r="G25" s="58">
        <f ca="1">ROUND(OFFSET('1. Tema Yazma'!$F$13, 0, ROW(A22)-1) * (25 / 100), 0)</f>
        <v>0</v>
      </c>
      <c r="H25" s="58">
        <f ca="1">ROUND(OFFSET('2. Tema Yazma'!$F$14, 0, ROW(A22)-1) * (25 / 100), 0)</f>
        <v>0</v>
      </c>
      <c r="I25" s="116">
        <f t="shared" ca="1" si="0"/>
        <v>0</v>
      </c>
    </row>
    <row r="26" spans="2:9" ht="30" customHeight="1">
      <c r="B26" s="59">
        <v>23</v>
      </c>
      <c r="C26" s="59">
        <f>'Öğrenci Bilgileri'!C26</f>
        <v>0</v>
      </c>
      <c r="D26" s="60">
        <f>'Öğrenci Bilgileri'!D26</f>
        <v>0</v>
      </c>
      <c r="E26" s="58">
        <f ca="1">ROUND(OFFSET('1. Tema Konuşma'!$F$14, 0, ROW(A23)-1) * (25/ 100), 0)</f>
        <v>0</v>
      </c>
      <c r="F26" s="58">
        <f ca="1">ROUND(OFFSET('2. Tema Konuşma'!$F$14, 0, ROW(A23)-1) * (25 / 100), 0)</f>
        <v>0</v>
      </c>
      <c r="G26" s="58">
        <f ca="1">ROUND(OFFSET('1. Tema Yazma'!$F$13, 0, ROW(A23)-1) * (25 / 100), 0)</f>
        <v>0</v>
      </c>
      <c r="H26" s="58">
        <f ca="1">ROUND(OFFSET('2. Tema Yazma'!$F$14, 0, ROW(A23)-1) * (25 / 100), 0)</f>
        <v>0</v>
      </c>
      <c r="I26" s="116">
        <f t="shared" ca="1" si="0"/>
        <v>0</v>
      </c>
    </row>
    <row r="27" spans="2:9" ht="30" customHeight="1">
      <c r="B27" s="59">
        <v>24</v>
      </c>
      <c r="C27" s="59">
        <f>'Öğrenci Bilgileri'!C27</f>
        <v>0</v>
      </c>
      <c r="D27" s="60">
        <f>'Öğrenci Bilgileri'!D27</f>
        <v>0</v>
      </c>
      <c r="E27" s="58">
        <f ca="1">ROUND(OFFSET('1. Tema Konuşma'!$F$14, 0, ROW(A24)-1) * (25/ 100), 0)</f>
        <v>0</v>
      </c>
      <c r="F27" s="58">
        <f ca="1">ROUND(OFFSET('2. Tema Konuşma'!$F$14, 0, ROW(A24)-1) * (25 / 100), 0)</f>
        <v>0</v>
      </c>
      <c r="G27" s="58">
        <f ca="1">ROUND(OFFSET('1. Tema Yazma'!$F$13, 0, ROW(A24)-1) * (25 / 100), 0)</f>
        <v>0</v>
      </c>
      <c r="H27" s="58">
        <f ca="1">ROUND(OFFSET('2. Tema Yazma'!$F$14, 0, ROW(A24)-1) * (25 / 100), 0)</f>
        <v>0</v>
      </c>
      <c r="I27" s="116">
        <f t="shared" ca="1" si="0"/>
        <v>0</v>
      </c>
    </row>
    <row r="28" spans="2:9" ht="30" customHeight="1">
      <c r="B28" s="59">
        <v>25</v>
      </c>
      <c r="C28" s="59">
        <f>'Öğrenci Bilgileri'!C28</f>
        <v>0</v>
      </c>
      <c r="D28" s="60">
        <f>'Öğrenci Bilgileri'!D28</f>
        <v>0</v>
      </c>
      <c r="E28" s="58">
        <f ca="1">ROUND(OFFSET('1. Tema Konuşma'!$F$14, 0, ROW(A25)-1) * (25/ 100), 0)</f>
        <v>0</v>
      </c>
      <c r="F28" s="58">
        <f ca="1">ROUND(OFFSET('2. Tema Konuşma'!$F$14, 0, ROW(A25)-1) * (25 / 100), 0)</f>
        <v>0</v>
      </c>
      <c r="G28" s="58">
        <f ca="1">ROUND(OFFSET('1. Tema Yazma'!$F$13, 0, ROW(A25)-1) * (25 / 100), 0)</f>
        <v>0</v>
      </c>
      <c r="H28" s="58">
        <f ca="1">ROUND(OFFSET('2. Tema Yazma'!$F$14, 0, ROW(A25)-1) * (25 / 100), 0)</f>
        <v>0</v>
      </c>
      <c r="I28" s="116">
        <f t="shared" ca="1" si="0"/>
        <v>0</v>
      </c>
    </row>
    <row r="29" spans="2:9" ht="30" customHeight="1">
      <c r="B29" s="59">
        <v>26</v>
      </c>
      <c r="C29" s="59">
        <f>'Öğrenci Bilgileri'!C29</f>
        <v>0</v>
      </c>
      <c r="D29" s="60">
        <f>'Öğrenci Bilgileri'!D29</f>
        <v>0</v>
      </c>
      <c r="E29" s="58">
        <f ca="1">ROUND(OFFSET('1. Tema Konuşma'!$F$14, 0, ROW(A26)-1) * (25/ 100), 0)</f>
        <v>0</v>
      </c>
      <c r="F29" s="58">
        <f ca="1">ROUND(OFFSET('2. Tema Konuşma'!$F$14, 0, ROW(A26)-1) * (25 / 100), 0)</f>
        <v>0</v>
      </c>
      <c r="G29" s="58">
        <f ca="1">ROUND(OFFSET('1. Tema Yazma'!$F$13, 0, ROW(A26)-1) * (25 / 100), 0)</f>
        <v>0</v>
      </c>
      <c r="H29" s="58">
        <f ca="1">ROUND(OFFSET('2. Tema Yazma'!$F$14, 0, ROW(A26)-1) * (25 / 100), 0)</f>
        <v>0</v>
      </c>
      <c r="I29" s="116">
        <f t="shared" ca="1" si="0"/>
        <v>0</v>
      </c>
    </row>
    <row r="30" spans="2:9" ht="30" customHeight="1">
      <c r="B30" s="59">
        <v>27</v>
      </c>
      <c r="C30" s="59">
        <f>'Öğrenci Bilgileri'!C30</f>
        <v>0</v>
      </c>
      <c r="D30" s="60">
        <f>'Öğrenci Bilgileri'!D30</f>
        <v>0</v>
      </c>
      <c r="E30" s="58">
        <f ca="1">ROUND(OFFSET('1. Tema Konuşma'!$F$14, 0, ROW(A27)-1) * (25/ 100), 0)</f>
        <v>0</v>
      </c>
      <c r="F30" s="58">
        <f ca="1">ROUND(OFFSET('2. Tema Konuşma'!$F$14, 0, ROW(A27)-1) * (25 / 100), 0)</f>
        <v>0</v>
      </c>
      <c r="G30" s="58">
        <f ca="1">ROUND(OFFSET('1. Tema Yazma'!$F$13, 0, ROW(A27)-1) * (25 / 100), 0)</f>
        <v>0</v>
      </c>
      <c r="H30" s="58">
        <f ca="1">ROUND(OFFSET('2. Tema Yazma'!$F$14, 0, ROW(A27)-1) * (25 / 100), 0)</f>
        <v>0</v>
      </c>
      <c r="I30" s="116">
        <f t="shared" ca="1" si="0"/>
        <v>0</v>
      </c>
    </row>
    <row r="31" spans="2:9" ht="30" customHeight="1">
      <c r="B31" s="59">
        <v>28</v>
      </c>
      <c r="C31" s="59">
        <f>'Öğrenci Bilgileri'!C31</f>
        <v>0</v>
      </c>
      <c r="D31" s="62">
        <f>'Öğrenci Bilgileri'!D31</f>
        <v>0</v>
      </c>
      <c r="E31" s="58">
        <f ca="1">ROUND(OFFSET('1. Tema Konuşma'!$F$14, 0, ROW(A28)-1) * (25/ 100), 0)</f>
        <v>0</v>
      </c>
      <c r="F31" s="58">
        <f ca="1">ROUND(OFFSET('2. Tema Konuşma'!$F$14, 0, ROW(A28)-1) * (25 / 100), 0)</f>
        <v>0</v>
      </c>
      <c r="G31" s="58">
        <f ca="1">ROUND(OFFSET('1. Tema Yazma'!$F$13, 0, ROW(A28)-1) * (25 / 100), 0)</f>
        <v>0</v>
      </c>
      <c r="H31" s="58">
        <f ca="1">ROUND(OFFSET('2. Tema Yazma'!$F$14, 0, ROW(A28)-1) * (25 / 100), 0)</f>
        <v>0</v>
      </c>
      <c r="I31" s="116">
        <f t="shared" ca="1" si="0"/>
        <v>0</v>
      </c>
    </row>
    <row r="32" spans="2:9" ht="30" customHeight="1">
      <c r="B32" s="59">
        <v>29</v>
      </c>
      <c r="C32" s="59">
        <f>'Öğrenci Bilgileri'!C32</f>
        <v>0</v>
      </c>
      <c r="D32" s="62">
        <f>'Öğrenci Bilgileri'!D32</f>
        <v>0</v>
      </c>
      <c r="E32" s="58">
        <f ca="1">ROUND(OFFSET('1. Tema Konuşma'!$F$14, 0, ROW(A29)-1) * (25/ 100), 0)</f>
        <v>0</v>
      </c>
      <c r="F32" s="58">
        <f ca="1">ROUND(OFFSET('2. Tema Konuşma'!$F$14, 0, ROW(A29)-1) * (25 / 100), 0)</f>
        <v>0</v>
      </c>
      <c r="G32" s="58">
        <f ca="1">ROUND(OFFSET('1. Tema Yazma'!$F$13, 0, ROW(A29)-1) * (25 / 100), 0)</f>
        <v>0</v>
      </c>
      <c r="H32" s="58">
        <f ca="1">ROUND(OFFSET('2. Tema Yazma'!$F$14, 0, ROW(A29)-1) * (25 / 100), 0)</f>
        <v>0</v>
      </c>
      <c r="I32" s="116">
        <f t="shared" ca="1" si="0"/>
        <v>0</v>
      </c>
    </row>
    <row r="33" spans="2:9" ht="30" customHeight="1">
      <c r="B33" s="59">
        <v>30</v>
      </c>
      <c r="C33" s="59">
        <f>'Öğrenci Bilgileri'!C33</f>
        <v>0</v>
      </c>
      <c r="D33" s="62">
        <f>'Öğrenci Bilgileri'!D33</f>
        <v>0</v>
      </c>
      <c r="E33" s="58">
        <f ca="1">ROUND(OFFSET('1. Tema Konuşma'!$F$14, 0, ROW(A30)-1) * (25/ 100), 0)</f>
        <v>0</v>
      </c>
      <c r="F33" s="58">
        <f ca="1">ROUND(OFFSET('2. Tema Konuşma'!$F$14, 0, ROW(A30)-1) * (25 / 100), 0)</f>
        <v>0</v>
      </c>
      <c r="G33" s="58">
        <f ca="1">ROUND(OFFSET('1. Tema Yazma'!$F$13, 0, ROW(A30)-1) * (25 / 100), 0)</f>
        <v>0</v>
      </c>
      <c r="H33" s="58">
        <f ca="1">ROUND(OFFSET('2. Tema Yazma'!$F$14, 0, ROW(A30)-1) * (25 / 100), 0)</f>
        <v>0</v>
      </c>
      <c r="I33" s="116">
        <f t="shared" ca="1" si="0"/>
        <v>0</v>
      </c>
    </row>
    <row r="34" spans="2:9" ht="30" customHeight="1">
      <c r="B34" s="59">
        <v>31</v>
      </c>
      <c r="C34" s="59">
        <f>'Öğrenci Bilgileri'!C34</f>
        <v>0</v>
      </c>
      <c r="D34" s="62">
        <f>'Öğrenci Bilgileri'!D34</f>
        <v>0</v>
      </c>
      <c r="E34" s="58">
        <f ca="1">ROUND(OFFSET('1. Tema Konuşma'!$F$14, 0, ROW(A31)-1) * (25/ 100), 0)</f>
        <v>0</v>
      </c>
      <c r="F34" s="58">
        <f ca="1">ROUND(OFFSET('2. Tema Konuşma'!$F$14, 0, ROW(A31)-1) * (25 / 100), 0)</f>
        <v>0</v>
      </c>
      <c r="G34" s="58">
        <f ca="1">ROUND(OFFSET('1. Tema Yazma'!$F$13, 0, ROW(A31)-1) * (25 / 100), 0)</f>
        <v>0</v>
      </c>
      <c r="H34" s="58">
        <f ca="1">ROUND(OFFSET('2. Tema Yazma'!$F$14, 0, ROW(A31)-1) * (25 / 100), 0)</f>
        <v>0</v>
      </c>
      <c r="I34" s="116">
        <f t="shared" ca="1" si="0"/>
        <v>0</v>
      </c>
    </row>
    <row r="35" spans="2:9" ht="30" customHeight="1">
      <c r="B35" s="59">
        <v>32</v>
      </c>
      <c r="C35" s="59">
        <f>'Öğrenci Bilgileri'!C35</f>
        <v>0</v>
      </c>
      <c r="D35" s="62">
        <f>'Öğrenci Bilgileri'!D35</f>
        <v>0</v>
      </c>
      <c r="E35" s="58">
        <f ca="1">ROUND(OFFSET('1. Tema Konuşma'!$F$14, 0, ROW(A32)-1) * (25/ 100), 0)</f>
        <v>0</v>
      </c>
      <c r="F35" s="58">
        <f ca="1">ROUND(OFFSET('2. Tema Konuşma'!$F$14, 0, ROW(A32)-1) * (25 / 100), 0)</f>
        <v>0</v>
      </c>
      <c r="G35" s="58">
        <f ca="1">ROUND(OFFSET('1. Tema Yazma'!$F$13, 0, ROW(A32)-1) * (25 / 100), 0)</f>
        <v>0</v>
      </c>
      <c r="H35" s="58">
        <f ca="1">ROUND(OFFSET('2. Tema Yazma'!$F$14, 0, ROW(A32)-1) * (25 / 100), 0)</f>
        <v>0</v>
      </c>
      <c r="I35" s="116">
        <f t="shared" ca="1" si="0"/>
        <v>0</v>
      </c>
    </row>
    <row r="36" spans="2:9" ht="30" customHeight="1">
      <c r="B36" s="59">
        <v>33</v>
      </c>
      <c r="C36" s="59">
        <f>'Öğrenci Bilgileri'!C36</f>
        <v>0</v>
      </c>
      <c r="D36" s="62">
        <f>'Öğrenci Bilgileri'!D36</f>
        <v>0</v>
      </c>
      <c r="E36" s="58">
        <f ca="1">ROUND(OFFSET('1. Tema Konuşma'!$F$14, 0, ROW(A33)-1) * (25/ 100), 0)</f>
        <v>0</v>
      </c>
      <c r="F36" s="58">
        <f ca="1">ROUND(OFFSET('2. Tema Konuşma'!$F$14, 0, ROW(A33)-1) * (25 / 100), 0)</f>
        <v>0</v>
      </c>
      <c r="G36" s="58">
        <f ca="1">ROUND(OFFSET('1. Tema Yazma'!$F$13, 0, ROW(A33)-1) * (25 / 100), 0)</f>
        <v>0</v>
      </c>
      <c r="H36" s="58">
        <f ca="1">ROUND(OFFSET('2. Tema Yazma'!$F$14, 0, ROW(A33)-1) * (25 / 100), 0)</f>
        <v>0</v>
      </c>
      <c r="I36" s="116">
        <f t="shared" ca="1" si="0"/>
        <v>0</v>
      </c>
    </row>
    <row r="37" spans="2:9" ht="30" customHeight="1">
      <c r="B37" s="59">
        <v>34</v>
      </c>
      <c r="C37" s="59">
        <f>'Öğrenci Bilgileri'!C37</f>
        <v>0</v>
      </c>
      <c r="D37" s="62">
        <f>'Öğrenci Bilgileri'!D37</f>
        <v>0</v>
      </c>
      <c r="E37" s="58">
        <f ca="1">ROUND(OFFSET('1. Tema Konuşma'!$F$14, 0, ROW(A34)-1) * (25/ 100), 0)</f>
        <v>0</v>
      </c>
      <c r="F37" s="58">
        <f ca="1">ROUND(OFFSET('2. Tema Konuşma'!$F$14, 0, ROW(A34)-1) * (25 / 100), 0)</f>
        <v>0</v>
      </c>
      <c r="G37" s="58">
        <f ca="1">ROUND(OFFSET('1. Tema Yazma'!$F$13, 0, ROW(A34)-1) * (25 / 100), 0)</f>
        <v>0</v>
      </c>
      <c r="H37" s="58">
        <f ca="1">ROUND(OFFSET('2. Tema Yazma'!$F$14, 0, ROW(A34)-1) * (25 / 100), 0)</f>
        <v>0</v>
      </c>
      <c r="I37" s="116">
        <f t="shared" ca="1" si="0"/>
        <v>0</v>
      </c>
    </row>
    <row r="38" spans="2:9" ht="30" customHeight="1">
      <c r="B38" s="59">
        <v>35</v>
      </c>
      <c r="C38" s="59">
        <f>'Öğrenci Bilgileri'!C38</f>
        <v>0</v>
      </c>
      <c r="D38" s="62">
        <f>'Öğrenci Bilgileri'!D38</f>
        <v>0</v>
      </c>
      <c r="E38" s="58">
        <f ca="1">ROUND(OFFSET('1. Tema Konuşma'!$F$14, 0, ROW(A35)-1) * (25/ 100), 0)</f>
        <v>0</v>
      </c>
      <c r="F38" s="58">
        <f ca="1">ROUND(OFFSET('2. Tema Konuşma'!$F$14, 0, ROW(A35)-1) * (25 / 100), 0)</f>
        <v>0</v>
      </c>
      <c r="G38" s="58">
        <f ca="1">ROUND(OFFSET('1. Tema Yazma'!$F$13, 0, ROW(A35)-1) * (25 / 100), 0)</f>
        <v>0</v>
      </c>
      <c r="H38" s="58">
        <f ca="1">ROUND(OFFSET('2. Tema Yazma'!$F$14, 0, ROW(A35)-1) * (25 / 100), 0)</f>
        <v>0</v>
      </c>
      <c r="I38" s="116">
        <f t="shared" ca="1" si="0"/>
        <v>0</v>
      </c>
    </row>
    <row r="39" spans="2:9" ht="30" customHeight="1">
      <c r="B39" s="59">
        <v>36</v>
      </c>
      <c r="C39" s="59">
        <f>'Öğrenci Bilgileri'!C39</f>
        <v>0</v>
      </c>
      <c r="D39" s="62">
        <f>'Öğrenci Bilgileri'!D39</f>
        <v>0</v>
      </c>
      <c r="E39" s="58">
        <f ca="1">ROUND(OFFSET('1. Tema Konuşma'!$F$14, 0, ROW(A36)-1) * (25/ 100), 0)</f>
        <v>0</v>
      </c>
      <c r="F39" s="58">
        <f ca="1">ROUND(OFFSET('2. Tema Konuşma'!$F$14, 0, ROW(A36)-1) * (25 / 100), 0)</f>
        <v>0</v>
      </c>
      <c r="G39" s="58">
        <f ca="1">ROUND(OFFSET('1. Tema Yazma'!$F$13, 0, ROW(A36)-1) * (25 / 100), 0)</f>
        <v>0</v>
      </c>
      <c r="H39" s="58">
        <f ca="1">ROUND(OFFSET('2. Tema Yazma'!$F$14, 0, ROW(A36)-1) * (25 / 100), 0)</f>
        <v>0</v>
      </c>
      <c r="I39" s="116">
        <f t="shared" ca="1" si="0"/>
        <v>0</v>
      </c>
    </row>
    <row r="40" spans="2:9" ht="30" customHeight="1">
      <c r="B40" s="59">
        <v>37</v>
      </c>
      <c r="C40" s="59">
        <f>'Öğrenci Bilgileri'!C40</f>
        <v>0</v>
      </c>
      <c r="D40" s="62">
        <f>'Öğrenci Bilgileri'!D40</f>
        <v>0</v>
      </c>
      <c r="E40" s="58">
        <f ca="1">ROUND(OFFSET('1. Tema Konuşma'!$F$14, 0, ROW(A37)-1) * (25/ 100), 0)</f>
        <v>0</v>
      </c>
      <c r="F40" s="58">
        <f ca="1">ROUND(OFFSET('2. Tema Konuşma'!$F$14, 0, ROW(A37)-1) * (25 / 100), 0)</f>
        <v>0</v>
      </c>
      <c r="G40" s="58">
        <f ca="1">ROUND(OFFSET('1. Tema Yazma'!$F$13, 0, ROW(A37)-1) * (25 / 100), 0)</f>
        <v>0</v>
      </c>
      <c r="H40" s="58">
        <f ca="1">ROUND(OFFSET('2. Tema Yazma'!$F$14, 0, ROW(A37)-1) * (25 / 100), 0)</f>
        <v>0</v>
      </c>
      <c r="I40" s="116">
        <f t="shared" ca="1" si="0"/>
        <v>0</v>
      </c>
    </row>
    <row r="41" spans="2:9" ht="30" customHeight="1">
      <c r="B41" s="59">
        <v>38</v>
      </c>
      <c r="C41" s="59">
        <f>'Öğrenci Bilgileri'!C41</f>
        <v>0</v>
      </c>
      <c r="D41" s="62">
        <f>'Öğrenci Bilgileri'!D41</f>
        <v>0</v>
      </c>
      <c r="E41" s="58">
        <f ca="1">ROUND(OFFSET('1. Tema Konuşma'!$F$14, 0, ROW(A38)-1) * (25/ 100), 0)</f>
        <v>0</v>
      </c>
      <c r="F41" s="58">
        <f ca="1">ROUND(OFFSET('2. Tema Konuşma'!$F$14, 0, ROW(A38)-1) * (25 / 100), 0)</f>
        <v>0</v>
      </c>
      <c r="G41" s="58">
        <f ca="1">ROUND(OFFSET('1. Tema Yazma'!$F$13, 0, ROW(A38)-1) * (25 / 100), 0)</f>
        <v>0</v>
      </c>
      <c r="H41" s="58">
        <f ca="1">ROUND(OFFSET('2. Tema Yazma'!$F$14, 0, ROW(A38)-1) * (25 / 100), 0)</f>
        <v>0</v>
      </c>
      <c r="I41" s="116">
        <f t="shared" ca="1" si="0"/>
        <v>0</v>
      </c>
    </row>
    <row r="42" spans="2:9" ht="30" customHeight="1">
      <c r="B42" s="59">
        <v>39</v>
      </c>
      <c r="C42" s="59">
        <f>'Öğrenci Bilgileri'!C42</f>
        <v>0</v>
      </c>
      <c r="D42" s="62">
        <f>'Öğrenci Bilgileri'!D42</f>
        <v>0</v>
      </c>
      <c r="E42" s="58">
        <f ca="1">ROUND(OFFSET('1. Tema Konuşma'!$F$14, 0, ROW(A39)-1) * (25/ 100), 0)</f>
        <v>0</v>
      </c>
      <c r="F42" s="58">
        <f ca="1">ROUND(OFFSET('2. Tema Konuşma'!$F$14, 0, ROW(A39)-1) * (25 / 100), 0)</f>
        <v>0</v>
      </c>
      <c r="G42" s="58">
        <f ca="1">ROUND(OFFSET('1. Tema Yazma'!$F$13, 0, ROW(A39)-1) * (25 / 100), 0)</f>
        <v>0</v>
      </c>
      <c r="H42" s="58">
        <f ca="1">ROUND(OFFSET('2. Tema Yazma'!$F$14, 0, ROW(A39)-1) * (25 / 100), 0)</f>
        <v>0</v>
      </c>
      <c r="I42" s="116">
        <f t="shared" ca="1" si="0"/>
        <v>0</v>
      </c>
    </row>
    <row r="43" spans="2:9" ht="30" customHeight="1" thickBot="1">
      <c r="B43" s="61">
        <v>40</v>
      </c>
      <c r="C43" s="61">
        <f>'Öğrenci Bilgileri'!C43</f>
        <v>0</v>
      </c>
      <c r="D43" s="63">
        <f>'Öğrenci Bilgileri'!D43</f>
        <v>0</v>
      </c>
      <c r="E43" s="58">
        <f ca="1">ROUND(OFFSET('1. Tema Konuşma'!$F$14, 0, ROW(A40)-1) * (25/ 100), 0)</f>
        <v>0</v>
      </c>
      <c r="F43" s="58">
        <f ca="1">ROUND(OFFSET('2. Tema Konuşma'!$F$14, 0, ROW(A40)-1) * (25 / 100), 0)</f>
        <v>0</v>
      </c>
      <c r="G43" s="58">
        <f ca="1">ROUND(OFFSET('1. Tema Yazma'!$F$13, 0, ROW(A40)-1) * (25 / 100), 0)</f>
        <v>0</v>
      </c>
      <c r="H43" s="58">
        <f ca="1">ROUND(OFFSET('2. Tema Yazma'!$F$14, 0, ROW(A40)-1) * (25 / 100), 0)</f>
        <v>0</v>
      </c>
      <c r="I43" s="116">
        <f t="shared" ca="1" si="0"/>
        <v>0</v>
      </c>
    </row>
    <row r="44" spans="2:9" ht="14.25" customHeight="1" thickTop="1"/>
    <row r="45" spans="2:9" ht="17.25" customHeight="1">
      <c r="H45" s="196">
        <v>46402</v>
      </c>
      <c r="I45" s="197"/>
    </row>
    <row r="46" spans="2:9" ht="14.25" customHeight="1">
      <c r="H46" s="107"/>
      <c r="I46" s="107"/>
    </row>
    <row r="47" spans="2:9" ht="14.25" customHeight="1">
      <c r="H47" s="107"/>
      <c r="I47" s="107"/>
    </row>
    <row r="48" spans="2:9" ht="19.5" customHeight="1">
      <c r="H48" s="197" t="s">
        <v>225</v>
      </c>
      <c r="I48" s="197"/>
    </row>
    <row r="49" spans="8:9" ht="17.25" customHeight="1">
      <c r="H49" s="193" t="s">
        <v>39</v>
      </c>
      <c r="I49" s="193"/>
    </row>
    <row r="50" spans="8:9" ht="14.25" customHeight="1"/>
    <row r="51" spans="8:9" ht="14.25" customHeight="1"/>
    <row r="52" spans="8:9" ht="14.25" customHeight="1"/>
    <row r="53" spans="8:9" ht="14.25" customHeight="1"/>
    <row r="54" spans="8:9" ht="14.25" customHeight="1"/>
    <row r="55" spans="8:9" ht="14.25" customHeight="1"/>
    <row r="56" spans="8:9" ht="14.25" customHeight="1"/>
    <row r="57" spans="8:9" ht="14.25" customHeight="1"/>
    <row r="58" spans="8:9" ht="14.25" customHeight="1"/>
    <row r="59" spans="8:9" ht="14.25" customHeight="1"/>
    <row r="60" spans="8:9" ht="14.25" customHeight="1"/>
    <row r="61" spans="8:9" ht="14.25" customHeight="1"/>
    <row r="62" spans="8:9" ht="14.25" customHeight="1"/>
    <row r="63" spans="8:9" ht="14.25" customHeight="1"/>
    <row r="64" spans="8:9"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H49:I49"/>
    <mergeCell ref="B2:I2"/>
    <mergeCell ref="B1:I1"/>
    <mergeCell ref="H45:I45"/>
    <mergeCell ref="H48:I48"/>
  </mergeCells>
  <pageMargins left="0.59055118110236227" right="0.19685039370078741" top="0.55118110236220474" bottom="0.19685039370078741" header="0" footer="0"/>
  <pageSetup paperSize="9" scale="53"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pageSetUpPr fitToPage="1"/>
  </sheetPr>
  <dimension ref="A1:AQ25"/>
  <sheetViews>
    <sheetView showGridLines="0" tabSelected="1" topLeftCell="B7" zoomScale="110" zoomScaleNormal="110" workbookViewId="0">
      <selection activeCell="AH28" sqref="AH28"/>
    </sheetView>
  </sheetViews>
  <sheetFormatPr defaultRowHeight="14.25"/>
  <cols>
    <col min="1" max="1" width="5.5" style="1" hidden="1" customWidth="1"/>
    <col min="2" max="2" width="0.5" style="1" customWidth="1"/>
    <col min="3" max="3" width="64.625" style="1" customWidth="1"/>
    <col min="4" max="43" width="4.625" style="1" customWidth="1"/>
    <col min="44" max="16384" width="9" style="1"/>
  </cols>
  <sheetData>
    <row r="1" spans="1:43" ht="63.75" customHeight="1" thickTop="1" thickBot="1">
      <c r="A1" s="64"/>
      <c r="B1" s="65"/>
      <c r="C1" s="199" t="s">
        <v>241</v>
      </c>
      <c r="D1" s="200"/>
      <c r="E1" s="200"/>
      <c r="F1" s="200"/>
      <c r="G1" s="200"/>
      <c r="H1" s="200"/>
      <c r="I1" s="200"/>
      <c r="J1" s="200"/>
      <c r="K1" s="200"/>
      <c r="L1" s="200"/>
      <c r="M1" s="200"/>
      <c r="N1" s="200"/>
      <c r="O1" s="200"/>
      <c r="P1" s="200"/>
      <c r="Q1" s="200"/>
      <c r="R1" s="200"/>
      <c r="S1" s="200"/>
      <c r="T1" s="200"/>
      <c r="U1" s="200"/>
      <c r="V1" s="200"/>
      <c r="W1" s="200"/>
      <c r="X1" s="200"/>
      <c r="Y1" s="200"/>
      <c r="Z1" s="200"/>
      <c r="AA1" s="200"/>
      <c r="AB1" s="200"/>
      <c r="AC1" s="200"/>
      <c r="AD1" s="200"/>
      <c r="AE1" s="200"/>
      <c r="AF1" s="200"/>
      <c r="AG1" s="200"/>
      <c r="AH1" s="200"/>
      <c r="AI1" s="200"/>
      <c r="AJ1" s="200"/>
      <c r="AK1" s="200"/>
      <c r="AL1" s="200"/>
      <c r="AM1" s="200"/>
      <c r="AN1" s="200"/>
      <c r="AO1" s="200"/>
      <c r="AP1" s="200"/>
      <c r="AQ1" s="201"/>
    </row>
    <row r="2" spans="1:43" ht="30.75" customHeight="1" thickTop="1" thickBot="1">
      <c r="A2" s="64"/>
      <c r="B2" s="66" t="s">
        <v>51</v>
      </c>
      <c r="C2" s="202" t="s">
        <v>61</v>
      </c>
      <c r="D2" s="203"/>
      <c r="E2" s="203"/>
      <c r="F2" s="203"/>
      <c r="G2" s="203"/>
      <c r="H2" s="203"/>
      <c r="I2" s="203"/>
      <c r="J2" s="203"/>
      <c r="K2" s="203"/>
      <c r="L2" s="203"/>
      <c r="M2" s="203"/>
      <c r="N2" s="203"/>
      <c r="O2" s="203"/>
      <c r="P2" s="203"/>
      <c r="Q2" s="203"/>
      <c r="R2" s="203"/>
      <c r="S2" s="203"/>
      <c r="T2" s="203"/>
      <c r="U2" s="203"/>
      <c r="V2" s="203"/>
      <c r="W2" s="203"/>
      <c r="X2" s="203"/>
      <c r="Y2" s="203"/>
      <c r="Z2" s="203"/>
      <c r="AA2" s="203"/>
      <c r="AB2" s="203"/>
      <c r="AC2" s="203"/>
      <c r="AD2" s="203"/>
      <c r="AE2" s="203"/>
      <c r="AF2" s="203"/>
      <c r="AG2" s="203"/>
      <c r="AH2" s="203"/>
      <c r="AI2" s="203"/>
      <c r="AJ2" s="203"/>
      <c r="AK2" s="203"/>
      <c r="AL2" s="203"/>
      <c r="AM2" s="203"/>
      <c r="AN2" s="203"/>
      <c r="AO2" s="203"/>
      <c r="AP2" s="203"/>
      <c r="AQ2" s="204"/>
    </row>
    <row r="3" spans="1:43" ht="187.5" customHeight="1" thickTop="1" thickBot="1">
      <c r="A3" s="64"/>
      <c r="B3" s="198"/>
      <c r="C3" s="69" t="s">
        <v>46</v>
      </c>
      <c r="D3" s="74" t="str">
        <f ca="1">OFFSET('Öğrenci Bilgileri'!$D$4, COLUMN(A1)-1, 0)</f>
        <v>EKREM YEKREK</v>
      </c>
      <c r="E3" s="74" t="str">
        <f ca="1">OFFSET('Öğrenci Bilgileri'!$D$4, COLUMN(B1)-1, 0)</f>
        <v>SAMİ İL</v>
      </c>
      <c r="F3" s="74" t="str">
        <f ca="1">OFFSET('Öğrenci Bilgileri'!$D$4, COLUMN(C1)-1, 0)</f>
        <v>AHMET ÖZBAHAR</v>
      </c>
      <c r="G3" s="74" t="str">
        <f ca="1">OFFSET('Öğrenci Bilgileri'!$D$4, COLUMN(D1)-1, 0)</f>
        <v>FATMA ŞENGÜL</v>
      </c>
      <c r="H3" s="74" t="str">
        <f ca="1">OFFSET('Öğrenci Bilgileri'!$D$4, COLUMN(E1)-1, 0)</f>
        <v>GÖNÜL KORKUT</v>
      </c>
      <c r="I3" s="74" t="str">
        <f ca="1">OFFSET('Öğrenci Bilgileri'!$D$4, COLUMN(F1)-1, 0)</f>
        <v>MEHMET TANER</v>
      </c>
      <c r="J3" s="74" t="str">
        <f ca="1">OFFSET('Öğrenci Bilgileri'!$D$4, COLUMN(G1)-1, 0)</f>
        <v>HARUN DERİN</v>
      </c>
      <c r="K3" s="74" t="str">
        <f ca="1">OFFSET('Öğrenci Bilgileri'!$D$4, COLUMN(H1)-1, 0)</f>
        <v>MERVE KAMALAK</v>
      </c>
      <c r="L3" s="74" t="str">
        <f ca="1">OFFSET('Öğrenci Bilgileri'!$D$4, COLUMN(I1)-1, 0)</f>
        <v>ÜMRAN AYKIŞ</v>
      </c>
      <c r="M3" s="74" t="str">
        <f ca="1">OFFSET('Öğrenci Bilgileri'!$D$4, COLUMN(J1)-1, 0)</f>
        <v>IŞIL ÖZLER</v>
      </c>
      <c r="N3" s="74">
        <f ca="1">OFFSET('Öğrenci Bilgileri'!$D$4, COLUMN(K1)-1, 0)</f>
        <v>0</v>
      </c>
      <c r="O3" s="74">
        <f ca="1">OFFSET('Öğrenci Bilgileri'!$D$4, COLUMN(L1)-1, 0)</f>
        <v>0</v>
      </c>
      <c r="P3" s="74">
        <f ca="1">OFFSET('Öğrenci Bilgileri'!$D$4, COLUMN(M1)-1, 0)</f>
        <v>0</v>
      </c>
      <c r="Q3" s="74">
        <f ca="1">OFFSET('Öğrenci Bilgileri'!$D$4, COLUMN(N1)-1, 0)</f>
        <v>0</v>
      </c>
      <c r="R3" s="74">
        <f ca="1">OFFSET('Öğrenci Bilgileri'!$D$4, COLUMN(O1)-1, 0)</f>
        <v>0</v>
      </c>
      <c r="S3" s="74">
        <f ca="1">OFFSET('Öğrenci Bilgileri'!$D$4, COLUMN(P1)-1, 0)</f>
        <v>0</v>
      </c>
      <c r="T3" s="74">
        <f ca="1">OFFSET('Öğrenci Bilgileri'!$D$4, COLUMN(Q1)-1, 0)</f>
        <v>0</v>
      </c>
      <c r="U3" s="74">
        <f ca="1">OFFSET('Öğrenci Bilgileri'!$D$4, COLUMN(R1)-1, 0)</f>
        <v>0</v>
      </c>
      <c r="V3" s="74">
        <f ca="1">OFFSET('Öğrenci Bilgileri'!$D$4, COLUMN(S1)-1, 0)</f>
        <v>0</v>
      </c>
      <c r="W3" s="74">
        <f ca="1">OFFSET('Öğrenci Bilgileri'!$D$4, COLUMN(T1)-1, 0)</f>
        <v>0</v>
      </c>
      <c r="X3" s="74">
        <f ca="1">OFFSET('Öğrenci Bilgileri'!$D$4, COLUMN(U1)-1, 0)</f>
        <v>0</v>
      </c>
      <c r="Y3" s="74">
        <f ca="1">OFFSET('Öğrenci Bilgileri'!$D$4, COLUMN(V1)-1, 0)</f>
        <v>0</v>
      </c>
      <c r="Z3" s="74">
        <f ca="1">OFFSET('Öğrenci Bilgileri'!$D$4, COLUMN(W1)-1, 0)</f>
        <v>0</v>
      </c>
      <c r="AA3" s="74">
        <f ca="1">OFFSET('Öğrenci Bilgileri'!$D$4, COLUMN(X1)-1, 0)</f>
        <v>0</v>
      </c>
      <c r="AB3" s="74">
        <f ca="1">OFFSET('Öğrenci Bilgileri'!$D$4, COLUMN(Y1)-1, 0)</f>
        <v>0</v>
      </c>
      <c r="AC3" s="74">
        <f ca="1">OFFSET('Öğrenci Bilgileri'!$D$4, COLUMN(Z1)-1, 0)</f>
        <v>0</v>
      </c>
      <c r="AD3" s="74">
        <f ca="1">OFFSET('Öğrenci Bilgileri'!$D$4, COLUMN(AA1)-1, 0)</f>
        <v>0</v>
      </c>
      <c r="AE3" s="74">
        <f ca="1">OFFSET('Öğrenci Bilgileri'!$D$4, COLUMN(AB1)-1, 0)</f>
        <v>0</v>
      </c>
      <c r="AF3" s="74">
        <f ca="1">OFFSET('Öğrenci Bilgileri'!$D$4, COLUMN(AC1)-1, 0)</f>
        <v>0</v>
      </c>
      <c r="AG3" s="74">
        <f ca="1">OFFSET('Öğrenci Bilgileri'!$D$4, COLUMN(AD1)-1, 0)</f>
        <v>0</v>
      </c>
      <c r="AH3" s="74">
        <f ca="1">OFFSET('Öğrenci Bilgileri'!$D$4, COLUMN(AE1)-1, 0)</f>
        <v>0</v>
      </c>
      <c r="AI3" s="74">
        <f ca="1">OFFSET('Öğrenci Bilgileri'!$D$4, COLUMN(AF1)-1, 0)</f>
        <v>0</v>
      </c>
      <c r="AJ3" s="74">
        <f ca="1">OFFSET('Öğrenci Bilgileri'!$D$4, COLUMN(AG1)-1, 0)</f>
        <v>0</v>
      </c>
      <c r="AK3" s="74">
        <f ca="1">OFFSET('Öğrenci Bilgileri'!$D$4, COLUMN(AH1)-1, 0)</f>
        <v>0</v>
      </c>
      <c r="AL3" s="74">
        <f ca="1">OFFSET('Öğrenci Bilgileri'!$D$4, COLUMN(AI1)-1, 0)</f>
        <v>0</v>
      </c>
      <c r="AM3" s="74">
        <f ca="1">OFFSET('Öğrenci Bilgileri'!$D$4, COLUMN(AJ1)-1, 0)</f>
        <v>0</v>
      </c>
      <c r="AN3" s="74">
        <f ca="1">OFFSET('Öğrenci Bilgileri'!$D$4, COLUMN(AK1)-1, 0)</f>
        <v>0</v>
      </c>
      <c r="AO3" s="74">
        <f ca="1">OFFSET('Öğrenci Bilgileri'!$D$4, COLUMN(AL1)-1, 0)</f>
        <v>0</v>
      </c>
      <c r="AP3" s="74">
        <f ca="1">OFFSET('Öğrenci Bilgileri'!$D$4, COLUMN(AM1)-1, 0)</f>
        <v>0</v>
      </c>
      <c r="AQ3" s="74">
        <f ca="1">OFFSET('Öğrenci Bilgileri'!$D$4, COLUMN(AN1)-1, 0)</f>
        <v>0</v>
      </c>
    </row>
    <row r="4" spans="1:43" ht="45" customHeight="1" thickTop="1" thickBot="1">
      <c r="A4" s="64"/>
      <c r="B4" s="198"/>
      <c r="C4" s="71" t="s">
        <v>19</v>
      </c>
      <c r="D4" s="75">
        <v>3</v>
      </c>
      <c r="E4" s="76">
        <v>2</v>
      </c>
      <c r="F4" s="76">
        <v>1</v>
      </c>
      <c r="G4" s="76"/>
      <c r="H4" s="76"/>
      <c r="I4" s="76"/>
      <c r="J4" s="76"/>
      <c r="K4" s="76"/>
      <c r="L4" s="76"/>
      <c r="M4" s="76"/>
      <c r="N4" s="76"/>
      <c r="O4" s="76"/>
      <c r="P4" s="76"/>
      <c r="Q4" s="76"/>
      <c r="R4" s="76"/>
      <c r="S4" s="76"/>
      <c r="T4" s="76"/>
      <c r="U4" s="76"/>
      <c r="V4" s="76"/>
      <c r="W4" s="76"/>
      <c r="X4" s="76"/>
      <c r="Y4" s="76"/>
      <c r="Z4" s="76"/>
      <c r="AA4" s="76"/>
      <c r="AB4" s="76"/>
      <c r="AC4" s="76"/>
      <c r="AD4" s="76"/>
      <c r="AE4" s="76"/>
      <c r="AF4" s="76"/>
      <c r="AG4" s="76"/>
      <c r="AH4" s="76"/>
      <c r="AI4" s="76"/>
      <c r="AJ4" s="76"/>
      <c r="AK4" s="76"/>
      <c r="AL4" s="76"/>
      <c r="AM4" s="76"/>
      <c r="AN4" s="76"/>
      <c r="AO4" s="76"/>
      <c r="AP4" s="76"/>
      <c r="AQ4" s="77"/>
    </row>
    <row r="5" spans="1:43" ht="45" customHeight="1" thickBot="1">
      <c r="A5" s="64"/>
      <c r="B5" s="198"/>
      <c r="C5" s="72" t="s">
        <v>50</v>
      </c>
      <c r="D5" s="78">
        <v>3</v>
      </c>
      <c r="E5" s="79">
        <v>2</v>
      </c>
      <c r="F5" s="79">
        <v>1</v>
      </c>
      <c r="G5" s="79"/>
      <c r="H5" s="79"/>
      <c r="I5" s="79"/>
      <c r="J5" s="79"/>
      <c r="K5" s="79"/>
      <c r="L5" s="79"/>
      <c r="M5" s="79"/>
      <c r="N5" s="79"/>
      <c r="O5" s="79"/>
      <c r="P5" s="79"/>
      <c r="Q5" s="79"/>
      <c r="R5" s="79"/>
      <c r="S5" s="79"/>
      <c r="T5" s="79"/>
      <c r="U5" s="79"/>
      <c r="V5" s="79"/>
      <c r="W5" s="79"/>
      <c r="X5" s="79"/>
      <c r="Y5" s="79"/>
      <c r="Z5" s="79"/>
      <c r="AA5" s="79"/>
      <c r="AB5" s="79"/>
      <c r="AC5" s="79"/>
      <c r="AD5" s="79"/>
      <c r="AE5" s="79"/>
      <c r="AF5" s="79"/>
      <c r="AG5" s="79"/>
      <c r="AH5" s="79"/>
      <c r="AI5" s="79"/>
      <c r="AJ5" s="79"/>
      <c r="AK5" s="79"/>
      <c r="AL5" s="79"/>
      <c r="AM5" s="79"/>
      <c r="AN5" s="79"/>
      <c r="AO5" s="79"/>
      <c r="AP5" s="79"/>
      <c r="AQ5" s="80"/>
    </row>
    <row r="6" spans="1:43" ht="45" customHeight="1" thickBot="1">
      <c r="A6" s="64"/>
      <c r="B6" s="198"/>
      <c r="C6" s="72" t="s">
        <v>21</v>
      </c>
      <c r="D6" s="78">
        <v>3</v>
      </c>
      <c r="E6" s="79">
        <v>2</v>
      </c>
      <c r="F6" s="79">
        <v>1</v>
      </c>
      <c r="G6" s="79"/>
      <c r="H6" s="79"/>
      <c r="I6" s="79"/>
      <c r="J6" s="79"/>
      <c r="K6" s="79"/>
      <c r="L6" s="79"/>
      <c r="M6" s="79"/>
      <c r="N6" s="79"/>
      <c r="O6" s="79"/>
      <c r="P6" s="79"/>
      <c r="Q6" s="79"/>
      <c r="R6" s="79"/>
      <c r="S6" s="79"/>
      <c r="T6" s="79"/>
      <c r="U6" s="79"/>
      <c r="V6" s="79"/>
      <c r="W6" s="79"/>
      <c r="X6" s="79"/>
      <c r="Y6" s="79"/>
      <c r="Z6" s="79"/>
      <c r="AA6" s="79"/>
      <c r="AB6" s="79"/>
      <c r="AC6" s="79"/>
      <c r="AD6" s="79"/>
      <c r="AE6" s="79"/>
      <c r="AF6" s="79"/>
      <c r="AG6" s="79"/>
      <c r="AH6" s="79"/>
      <c r="AI6" s="79"/>
      <c r="AJ6" s="79"/>
      <c r="AK6" s="79"/>
      <c r="AL6" s="79"/>
      <c r="AM6" s="79"/>
      <c r="AN6" s="79"/>
      <c r="AO6" s="79"/>
      <c r="AP6" s="79"/>
      <c r="AQ6" s="80"/>
    </row>
    <row r="7" spans="1:43" ht="45" customHeight="1" thickBot="1">
      <c r="A7" s="64"/>
      <c r="B7" s="198"/>
      <c r="C7" s="72" t="s">
        <v>22</v>
      </c>
      <c r="D7" s="78">
        <v>3</v>
      </c>
      <c r="E7" s="79">
        <v>2</v>
      </c>
      <c r="F7" s="79">
        <v>1</v>
      </c>
      <c r="G7" s="79"/>
      <c r="H7" s="79"/>
      <c r="I7" s="79"/>
      <c r="J7" s="79"/>
      <c r="K7" s="79"/>
      <c r="L7" s="79"/>
      <c r="M7" s="79"/>
      <c r="N7" s="79"/>
      <c r="O7" s="79"/>
      <c r="P7" s="79"/>
      <c r="Q7" s="79"/>
      <c r="R7" s="79"/>
      <c r="S7" s="79"/>
      <c r="T7" s="79"/>
      <c r="U7" s="79"/>
      <c r="V7" s="79"/>
      <c r="W7" s="79"/>
      <c r="X7" s="79"/>
      <c r="Y7" s="79"/>
      <c r="Z7" s="79"/>
      <c r="AA7" s="79"/>
      <c r="AB7" s="79"/>
      <c r="AC7" s="79"/>
      <c r="AD7" s="79"/>
      <c r="AE7" s="79"/>
      <c r="AF7" s="79"/>
      <c r="AG7" s="79"/>
      <c r="AH7" s="79"/>
      <c r="AI7" s="79"/>
      <c r="AJ7" s="79"/>
      <c r="AK7" s="79"/>
      <c r="AL7" s="79"/>
      <c r="AM7" s="79"/>
      <c r="AN7" s="79"/>
      <c r="AO7" s="79"/>
      <c r="AP7" s="79"/>
      <c r="AQ7" s="80"/>
    </row>
    <row r="8" spans="1:43" ht="45" customHeight="1" thickBot="1">
      <c r="A8" s="64"/>
      <c r="B8" s="198"/>
      <c r="C8" s="72" t="s">
        <v>23</v>
      </c>
      <c r="D8" s="78">
        <v>3</v>
      </c>
      <c r="E8" s="79">
        <v>2</v>
      </c>
      <c r="F8" s="79">
        <v>1</v>
      </c>
      <c r="G8" s="79"/>
      <c r="H8" s="79"/>
      <c r="I8" s="79"/>
      <c r="J8" s="79"/>
      <c r="K8" s="79"/>
      <c r="L8" s="79"/>
      <c r="M8" s="79"/>
      <c r="N8" s="79"/>
      <c r="O8" s="79"/>
      <c r="P8" s="79"/>
      <c r="Q8" s="79"/>
      <c r="R8" s="79"/>
      <c r="S8" s="79"/>
      <c r="T8" s="79"/>
      <c r="U8" s="79"/>
      <c r="V8" s="79"/>
      <c r="W8" s="79"/>
      <c r="X8" s="79"/>
      <c r="Y8" s="79"/>
      <c r="Z8" s="79"/>
      <c r="AA8" s="79"/>
      <c r="AB8" s="79"/>
      <c r="AC8" s="79"/>
      <c r="AD8" s="79"/>
      <c r="AE8" s="79"/>
      <c r="AF8" s="79"/>
      <c r="AG8" s="79"/>
      <c r="AH8" s="79"/>
      <c r="AI8" s="79"/>
      <c r="AJ8" s="79"/>
      <c r="AK8" s="79"/>
      <c r="AL8" s="79"/>
      <c r="AM8" s="79"/>
      <c r="AN8" s="79"/>
      <c r="AO8" s="79"/>
      <c r="AP8" s="79"/>
      <c r="AQ8" s="80"/>
    </row>
    <row r="9" spans="1:43" ht="45" customHeight="1" thickBot="1">
      <c r="A9" s="64"/>
      <c r="B9" s="198"/>
      <c r="C9" s="72" t="s">
        <v>24</v>
      </c>
      <c r="D9" s="78">
        <v>3</v>
      </c>
      <c r="E9" s="79">
        <v>2</v>
      </c>
      <c r="F9" s="79">
        <v>1</v>
      </c>
      <c r="G9" s="79"/>
      <c r="H9" s="79"/>
      <c r="I9" s="79"/>
      <c r="J9" s="79"/>
      <c r="K9" s="79"/>
      <c r="L9" s="79"/>
      <c r="M9" s="79"/>
      <c r="N9" s="79"/>
      <c r="O9" s="79"/>
      <c r="P9" s="79"/>
      <c r="Q9" s="79"/>
      <c r="R9" s="79"/>
      <c r="S9" s="79"/>
      <c r="T9" s="79"/>
      <c r="U9" s="79"/>
      <c r="V9" s="79"/>
      <c r="W9" s="79"/>
      <c r="X9" s="79"/>
      <c r="Y9" s="79"/>
      <c r="Z9" s="79"/>
      <c r="AA9" s="79"/>
      <c r="AB9" s="79"/>
      <c r="AC9" s="79"/>
      <c r="AD9" s="79"/>
      <c r="AE9" s="79"/>
      <c r="AF9" s="79"/>
      <c r="AG9" s="79"/>
      <c r="AH9" s="79"/>
      <c r="AI9" s="79"/>
      <c r="AJ9" s="79"/>
      <c r="AK9" s="79"/>
      <c r="AL9" s="79"/>
      <c r="AM9" s="79"/>
      <c r="AN9" s="79"/>
      <c r="AO9" s="79"/>
      <c r="AP9" s="79"/>
      <c r="AQ9" s="80"/>
    </row>
    <row r="10" spans="1:43" ht="45" customHeight="1" thickBot="1">
      <c r="A10" s="64"/>
      <c r="B10" s="198"/>
      <c r="C10" s="72" t="s">
        <v>25</v>
      </c>
      <c r="D10" s="78">
        <v>3</v>
      </c>
      <c r="E10" s="79">
        <v>2</v>
      </c>
      <c r="F10" s="79">
        <v>1</v>
      </c>
      <c r="G10" s="79"/>
      <c r="H10" s="79"/>
      <c r="I10" s="79"/>
      <c r="J10" s="79"/>
      <c r="K10" s="79"/>
      <c r="L10" s="79"/>
      <c r="M10" s="79"/>
      <c r="N10" s="79"/>
      <c r="O10" s="79"/>
      <c r="P10" s="79"/>
      <c r="Q10" s="79"/>
      <c r="R10" s="79"/>
      <c r="S10" s="79"/>
      <c r="T10" s="79"/>
      <c r="U10" s="79"/>
      <c r="V10" s="79"/>
      <c r="W10" s="79"/>
      <c r="X10" s="79"/>
      <c r="Y10" s="79"/>
      <c r="Z10" s="79"/>
      <c r="AA10" s="79"/>
      <c r="AB10" s="79"/>
      <c r="AC10" s="79"/>
      <c r="AD10" s="79"/>
      <c r="AE10" s="79"/>
      <c r="AF10" s="79"/>
      <c r="AG10" s="79"/>
      <c r="AH10" s="79"/>
      <c r="AI10" s="79"/>
      <c r="AJ10" s="79"/>
      <c r="AK10" s="79"/>
      <c r="AL10" s="79"/>
      <c r="AM10" s="79"/>
      <c r="AN10" s="79"/>
      <c r="AO10" s="79"/>
      <c r="AP10" s="79"/>
      <c r="AQ10" s="80"/>
    </row>
    <row r="11" spans="1:43" ht="45" customHeight="1" thickBot="1">
      <c r="A11" s="64"/>
      <c r="B11" s="198"/>
      <c r="C11" s="72" t="s">
        <v>26</v>
      </c>
      <c r="D11" s="78">
        <v>3</v>
      </c>
      <c r="E11" s="79">
        <v>2</v>
      </c>
      <c r="F11" s="79">
        <v>1</v>
      </c>
      <c r="G11" s="79"/>
      <c r="H11" s="79"/>
      <c r="I11" s="79"/>
      <c r="J11" s="79"/>
      <c r="K11" s="79"/>
      <c r="L11" s="79"/>
      <c r="M11" s="79"/>
      <c r="N11" s="79"/>
      <c r="O11" s="79"/>
      <c r="P11" s="79"/>
      <c r="Q11" s="79"/>
      <c r="R11" s="79"/>
      <c r="S11" s="79"/>
      <c r="T11" s="79"/>
      <c r="U11" s="79"/>
      <c r="V11" s="79"/>
      <c r="W11" s="79"/>
      <c r="X11" s="79"/>
      <c r="Y11" s="79"/>
      <c r="Z11" s="79"/>
      <c r="AA11" s="79"/>
      <c r="AB11" s="79"/>
      <c r="AC11" s="79"/>
      <c r="AD11" s="79"/>
      <c r="AE11" s="79"/>
      <c r="AF11" s="79"/>
      <c r="AG11" s="79"/>
      <c r="AH11" s="79"/>
      <c r="AI11" s="79"/>
      <c r="AJ11" s="79"/>
      <c r="AK11" s="79"/>
      <c r="AL11" s="79"/>
      <c r="AM11" s="79"/>
      <c r="AN11" s="79"/>
      <c r="AO11" s="79"/>
      <c r="AP11" s="79"/>
      <c r="AQ11" s="80"/>
    </row>
    <row r="12" spans="1:43" ht="45" customHeight="1" thickBot="1">
      <c r="A12" s="64"/>
      <c r="B12" s="198"/>
      <c r="C12" s="72" t="s">
        <v>27</v>
      </c>
      <c r="D12" s="78">
        <v>3</v>
      </c>
      <c r="E12" s="79">
        <v>2</v>
      </c>
      <c r="F12" s="79">
        <v>1</v>
      </c>
      <c r="G12" s="79"/>
      <c r="H12" s="79"/>
      <c r="I12" s="79"/>
      <c r="J12" s="79"/>
      <c r="K12" s="79"/>
      <c r="L12" s="79"/>
      <c r="M12" s="79"/>
      <c r="N12" s="79"/>
      <c r="O12" s="79"/>
      <c r="P12" s="79"/>
      <c r="Q12" s="79"/>
      <c r="R12" s="79"/>
      <c r="S12" s="79"/>
      <c r="T12" s="79"/>
      <c r="U12" s="79"/>
      <c r="V12" s="79"/>
      <c r="W12" s="79"/>
      <c r="X12" s="79"/>
      <c r="Y12" s="79"/>
      <c r="Z12" s="79"/>
      <c r="AA12" s="79"/>
      <c r="AB12" s="79"/>
      <c r="AC12" s="79"/>
      <c r="AD12" s="79"/>
      <c r="AE12" s="79"/>
      <c r="AF12" s="79"/>
      <c r="AG12" s="79"/>
      <c r="AH12" s="79"/>
      <c r="AI12" s="79"/>
      <c r="AJ12" s="79"/>
      <c r="AK12" s="79"/>
      <c r="AL12" s="79"/>
      <c r="AM12" s="79"/>
      <c r="AN12" s="79"/>
      <c r="AO12" s="79"/>
      <c r="AP12" s="79"/>
      <c r="AQ12" s="80"/>
    </row>
    <row r="13" spans="1:43" ht="45" customHeight="1" thickBot="1">
      <c r="A13" s="64"/>
      <c r="B13" s="198"/>
      <c r="C13" s="72" t="s">
        <v>28</v>
      </c>
      <c r="D13" s="78">
        <v>3</v>
      </c>
      <c r="E13" s="79">
        <v>2</v>
      </c>
      <c r="F13" s="79">
        <v>1</v>
      </c>
      <c r="G13" s="79"/>
      <c r="H13" s="79"/>
      <c r="I13" s="79"/>
      <c r="J13" s="79"/>
      <c r="K13" s="79"/>
      <c r="L13" s="79"/>
      <c r="M13" s="79"/>
      <c r="N13" s="79"/>
      <c r="O13" s="79"/>
      <c r="P13" s="79"/>
      <c r="Q13" s="79"/>
      <c r="R13" s="79"/>
      <c r="S13" s="79"/>
      <c r="T13" s="79"/>
      <c r="U13" s="79"/>
      <c r="V13" s="79"/>
      <c r="W13" s="79"/>
      <c r="X13" s="79"/>
      <c r="Y13" s="79"/>
      <c r="Z13" s="79"/>
      <c r="AA13" s="79"/>
      <c r="AB13" s="79"/>
      <c r="AC13" s="79"/>
      <c r="AD13" s="79"/>
      <c r="AE13" s="79"/>
      <c r="AF13" s="79"/>
      <c r="AG13" s="79"/>
      <c r="AH13" s="79"/>
      <c r="AI13" s="79"/>
      <c r="AJ13" s="79"/>
      <c r="AK13" s="79"/>
      <c r="AL13" s="79"/>
      <c r="AM13" s="79"/>
      <c r="AN13" s="79"/>
      <c r="AO13" s="79"/>
      <c r="AP13" s="79"/>
      <c r="AQ13" s="80"/>
    </row>
    <row r="14" spans="1:43" ht="45" customHeight="1" thickBot="1">
      <c r="A14" s="64"/>
      <c r="B14" s="198"/>
      <c r="C14" s="72" t="s">
        <v>29</v>
      </c>
      <c r="D14" s="78">
        <v>3</v>
      </c>
      <c r="E14" s="79">
        <v>2</v>
      </c>
      <c r="F14" s="79">
        <v>1</v>
      </c>
      <c r="G14" s="79"/>
      <c r="H14" s="79"/>
      <c r="I14" s="79"/>
      <c r="J14" s="79"/>
      <c r="K14" s="79"/>
      <c r="L14" s="79"/>
      <c r="M14" s="79"/>
      <c r="N14" s="79"/>
      <c r="O14" s="79"/>
      <c r="P14" s="79"/>
      <c r="Q14" s="79"/>
      <c r="R14" s="79"/>
      <c r="S14" s="79"/>
      <c r="T14" s="79"/>
      <c r="U14" s="79"/>
      <c r="V14" s="79"/>
      <c r="W14" s="79"/>
      <c r="X14" s="79"/>
      <c r="Y14" s="79"/>
      <c r="Z14" s="79"/>
      <c r="AA14" s="79"/>
      <c r="AB14" s="79"/>
      <c r="AC14" s="79"/>
      <c r="AD14" s="79"/>
      <c r="AE14" s="79"/>
      <c r="AF14" s="79"/>
      <c r="AG14" s="79"/>
      <c r="AH14" s="79"/>
      <c r="AI14" s="79"/>
      <c r="AJ14" s="79"/>
      <c r="AK14" s="79"/>
      <c r="AL14" s="79"/>
      <c r="AM14" s="79"/>
      <c r="AN14" s="79"/>
      <c r="AO14" s="79"/>
      <c r="AP14" s="79"/>
      <c r="AQ14" s="80"/>
    </row>
    <row r="15" spans="1:43" ht="45" customHeight="1" thickBot="1">
      <c r="A15" s="64"/>
      <c r="B15" s="198"/>
      <c r="C15" s="72" t="s">
        <v>30</v>
      </c>
      <c r="D15" s="78">
        <v>3</v>
      </c>
      <c r="E15" s="79">
        <v>2</v>
      </c>
      <c r="F15" s="79">
        <v>1</v>
      </c>
      <c r="G15" s="79"/>
      <c r="H15" s="79"/>
      <c r="I15" s="79"/>
      <c r="J15" s="79"/>
      <c r="K15" s="79"/>
      <c r="L15" s="79"/>
      <c r="M15" s="79"/>
      <c r="N15" s="79"/>
      <c r="O15" s="79"/>
      <c r="P15" s="79"/>
      <c r="Q15" s="79"/>
      <c r="R15" s="79"/>
      <c r="S15" s="79"/>
      <c r="T15" s="79"/>
      <c r="U15" s="79"/>
      <c r="V15" s="79"/>
      <c r="W15" s="79"/>
      <c r="X15" s="79"/>
      <c r="Y15" s="79"/>
      <c r="Z15" s="79"/>
      <c r="AA15" s="79"/>
      <c r="AB15" s="79"/>
      <c r="AC15" s="79"/>
      <c r="AD15" s="79"/>
      <c r="AE15" s="79"/>
      <c r="AF15" s="79"/>
      <c r="AG15" s="79"/>
      <c r="AH15" s="79"/>
      <c r="AI15" s="79"/>
      <c r="AJ15" s="79"/>
      <c r="AK15" s="79"/>
      <c r="AL15" s="79"/>
      <c r="AM15" s="79"/>
      <c r="AN15" s="79"/>
      <c r="AO15" s="79"/>
      <c r="AP15" s="79"/>
      <c r="AQ15" s="80"/>
    </row>
    <row r="16" spans="1:43" ht="45" customHeight="1" thickBot="1">
      <c r="A16" s="64"/>
      <c r="B16" s="198"/>
      <c r="C16" s="72" t="s">
        <v>31</v>
      </c>
      <c r="D16" s="78">
        <v>3</v>
      </c>
      <c r="E16" s="79">
        <v>2</v>
      </c>
      <c r="F16" s="79">
        <v>1</v>
      </c>
      <c r="G16" s="79"/>
      <c r="H16" s="79"/>
      <c r="I16" s="79"/>
      <c r="J16" s="79"/>
      <c r="K16" s="79"/>
      <c r="L16" s="79"/>
      <c r="M16" s="79"/>
      <c r="N16" s="79"/>
      <c r="O16" s="79"/>
      <c r="P16" s="79"/>
      <c r="Q16" s="79"/>
      <c r="R16" s="79"/>
      <c r="S16" s="79"/>
      <c r="T16" s="79"/>
      <c r="U16" s="79"/>
      <c r="V16" s="79"/>
      <c r="W16" s="79"/>
      <c r="X16" s="79"/>
      <c r="Y16" s="79"/>
      <c r="Z16" s="79"/>
      <c r="AA16" s="79"/>
      <c r="AB16" s="79"/>
      <c r="AC16" s="79"/>
      <c r="AD16" s="79"/>
      <c r="AE16" s="79"/>
      <c r="AF16" s="79"/>
      <c r="AG16" s="79"/>
      <c r="AH16" s="79"/>
      <c r="AI16" s="79"/>
      <c r="AJ16" s="79"/>
      <c r="AK16" s="79"/>
      <c r="AL16" s="79"/>
      <c r="AM16" s="79"/>
      <c r="AN16" s="79"/>
      <c r="AO16" s="79"/>
      <c r="AP16" s="79"/>
      <c r="AQ16" s="80"/>
    </row>
    <row r="17" spans="1:43" ht="45" customHeight="1" thickBot="1">
      <c r="A17" s="64"/>
      <c r="B17" s="67"/>
      <c r="C17" s="73" t="s">
        <v>32</v>
      </c>
      <c r="D17" s="81">
        <v>3</v>
      </c>
      <c r="E17" s="82">
        <v>2</v>
      </c>
      <c r="F17" s="82">
        <v>1</v>
      </c>
      <c r="G17" s="82"/>
      <c r="H17" s="82"/>
      <c r="I17" s="82"/>
      <c r="J17" s="82"/>
      <c r="K17" s="82"/>
      <c r="L17" s="82"/>
      <c r="M17" s="82"/>
      <c r="N17" s="82"/>
      <c r="O17" s="82"/>
      <c r="P17" s="82"/>
      <c r="Q17" s="82"/>
      <c r="R17" s="82"/>
      <c r="S17" s="82"/>
      <c r="T17" s="82"/>
      <c r="U17" s="82"/>
      <c r="V17" s="82"/>
      <c r="W17" s="82"/>
      <c r="X17" s="82"/>
      <c r="Y17" s="82"/>
      <c r="Z17" s="82"/>
      <c r="AA17" s="82"/>
      <c r="AB17" s="82"/>
      <c r="AC17" s="82"/>
      <c r="AD17" s="82"/>
      <c r="AE17" s="82"/>
      <c r="AF17" s="82"/>
      <c r="AG17" s="82"/>
      <c r="AH17" s="82"/>
      <c r="AI17" s="82"/>
      <c r="AJ17" s="82"/>
      <c r="AK17" s="82"/>
      <c r="AL17" s="82"/>
      <c r="AM17" s="82"/>
      <c r="AN17" s="82"/>
      <c r="AO17" s="82"/>
      <c r="AP17" s="82"/>
      <c r="AQ17" s="83"/>
    </row>
    <row r="18" spans="1:43" ht="45" customHeight="1" thickTop="1" thickBot="1">
      <c r="A18" s="64"/>
      <c r="B18" s="68"/>
      <c r="C18" s="70" t="s">
        <v>13</v>
      </c>
      <c r="D18" s="84">
        <f>SUM(D4:D17)</f>
        <v>42</v>
      </c>
      <c r="E18" s="85">
        <f t="shared" ref="E18:AQ18" si="0">SUM(E4:E17)</f>
        <v>28</v>
      </c>
      <c r="F18" s="85">
        <f t="shared" si="0"/>
        <v>14</v>
      </c>
      <c r="G18" s="85">
        <f t="shared" si="0"/>
        <v>0</v>
      </c>
      <c r="H18" s="85">
        <f t="shared" si="0"/>
        <v>0</v>
      </c>
      <c r="I18" s="85">
        <f t="shared" si="0"/>
        <v>0</v>
      </c>
      <c r="J18" s="85">
        <f t="shared" si="0"/>
        <v>0</v>
      </c>
      <c r="K18" s="85">
        <f t="shared" si="0"/>
        <v>0</v>
      </c>
      <c r="L18" s="85">
        <f t="shared" si="0"/>
        <v>0</v>
      </c>
      <c r="M18" s="85">
        <f t="shared" si="0"/>
        <v>0</v>
      </c>
      <c r="N18" s="85">
        <f t="shared" si="0"/>
        <v>0</v>
      </c>
      <c r="O18" s="85">
        <f t="shared" si="0"/>
        <v>0</v>
      </c>
      <c r="P18" s="85">
        <f t="shared" si="0"/>
        <v>0</v>
      </c>
      <c r="Q18" s="85">
        <f t="shared" si="0"/>
        <v>0</v>
      </c>
      <c r="R18" s="85">
        <f t="shared" si="0"/>
        <v>0</v>
      </c>
      <c r="S18" s="85">
        <f t="shared" si="0"/>
        <v>0</v>
      </c>
      <c r="T18" s="85">
        <f t="shared" si="0"/>
        <v>0</v>
      </c>
      <c r="U18" s="85">
        <f t="shared" si="0"/>
        <v>0</v>
      </c>
      <c r="V18" s="85">
        <f t="shared" si="0"/>
        <v>0</v>
      </c>
      <c r="W18" s="85">
        <f t="shared" si="0"/>
        <v>0</v>
      </c>
      <c r="X18" s="85">
        <f t="shared" si="0"/>
        <v>0</v>
      </c>
      <c r="Y18" s="85">
        <f t="shared" si="0"/>
        <v>0</v>
      </c>
      <c r="Z18" s="85">
        <f t="shared" si="0"/>
        <v>0</v>
      </c>
      <c r="AA18" s="85">
        <f t="shared" si="0"/>
        <v>0</v>
      </c>
      <c r="AB18" s="85">
        <f t="shared" si="0"/>
        <v>0</v>
      </c>
      <c r="AC18" s="85">
        <f t="shared" si="0"/>
        <v>0</v>
      </c>
      <c r="AD18" s="85">
        <f t="shared" si="0"/>
        <v>0</v>
      </c>
      <c r="AE18" s="85">
        <f t="shared" si="0"/>
        <v>0</v>
      </c>
      <c r="AF18" s="85">
        <f t="shared" si="0"/>
        <v>0</v>
      </c>
      <c r="AG18" s="85">
        <f t="shared" si="0"/>
        <v>0</v>
      </c>
      <c r="AH18" s="85">
        <f t="shared" si="0"/>
        <v>0</v>
      </c>
      <c r="AI18" s="85">
        <f t="shared" si="0"/>
        <v>0</v>
      </c>
      <c r="AJ18" s="85">
        <f t="shared" si="0"/>
        <v>0</v>
      </c>
      <c r="AK18" s="85">
        <f t="shared" si="0"/>
        <v>0</v>
      </c>
      <c r="AL18" s="85">
        <f t="shared" si="0"/>
        <v>0</v>
      </c>
      <c r="AM18" s="85">
        <f t="shared" si="0"/>
        <v>0</v>
      </c>
      <c r="AN18" s="85">
        <f t="shared" si="0"/>
        <v>0</v>
      </c>
      <c r="AO18" s="85">
        <f t="shared" si="0"/>
        <v>0</v>
      </c>
      <c r="AP18" s="85">
        <f t="shared" si="0"/>
        <v>0</v>
      </c>
      <c r="AQ18" s="86">
        <f t="shared" si="0"/>
        <v>0</v>
      </c>
    </row>
    <row r="19" spans="1:43" ht="15" thickTop="1"/>
    <row r="20" spans="1:43" ht="22.5">
      <c r="AH20" s="174" t="s">
        <v>56</v>
      </c>
      <c r="AI20" s="174"/>
      <c r="AJ20" s="174"/>
      <c r="AK20" s="174"/>
      <c r="AL20" s="174"/>
      <c r="AM20" s="174"/>
      <c r="AN20" s="174"/>
      <c r="AO20" s="174"/>
      <c r="AP20" s="174"/>
      <c r="AQ20" s="174"/>
    </row>
    <row r="21" spans="1:43">
      <c r="AH21"/>
      <c r="AI21"/>
      <c r="AJ21"/>
      <c r="AK21"/>
      <c r="AL21"/>
      <c r="AM21"/>
      <c r="AN21"/>
      <c r="AO21"/>
      <c r="AP21"/>
      <c r="AQ21"/>
    </row>
    <row r="22" spans="1:43">
      <c r="AH22"/>
      <c r="AI22"/>
      <c r="AJ22"/>
      <c r="AK22"/>
      <c r="AL22"/>
      <c r="AM22"/>
      <c r="AN22"/>
      <c r="AO22"/>
      <c r="AP22"/>
      <c r="AQ22"/>
    </row>
    <row r="23" spans="1:43">
      <c r="AH23"/>
      <c r="AI23"/>
      <c r="AJ23"/>
      <c r="AK23"/>
      <c r="AL23"/>
      <c r="AM23"/>
      <c r="AN23"/>
      <c r="AO23"/>
      <c r="AP23"/>
      <c r="AQ23"/>
    </row>
    <row r="24" spans="1:43" ht="19.5">
      <c r="AH24"/>
      <c r="AI24" s="173" t="s">
        <v>225</v>
      </c>
      <c r="AJ24" s="173"/>
      <c r="AK24" s="173"/>
      <c r="AL24" s="173"/>
      <c r="AM24" s="173"/>
      <c r="AN24" s="173"/>
      <c r="AO24" s="173"/>
      <c r="AP24" s="173"/>
      <c r="AQ24" s="173"/>
    </row>
    <row r="25" spans="1:43" ht="19.5">
      <c r="AH25"/>
      <c r="AI25" s="173" t="s">
        <v>39</v>
      </c>
      <c r="AJ25" s="173"/>
      <c r="AK25" s="173"/>
      <c r="AL25" s="173"/>
      <c r="AM25" s="173"/>
      <c r="AN25" s="173"/>
      <c r="AO25" s="173"/>
      <c r="AP25" s="173"/>
      <c r="AQ25" s="173"/>
    </row>
  </sheetData>
  <mergeCells count="6">
    <mergeCell ref="AH20:AQ20"/>
    <mergeCell ref="AI24:AQ24"/>
    <mergeCell ref="AI25:AQ25"/>
    <mergeCell ref="B3:B16"/>
    <mergeCell ref="C1:AQ1"/>
    <mergeCell ref="C2:AQ2"/>
  </mergeCells>
  <pageMargins left="0.27559055118110237" right="0.11811023622047245" top="0.55118110236220474" bottom="0" header="0.31496062992125984" footer="0.31496062992125984"/>
  <pageSetup scale="4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pageSetUpPr fitToPage="1"/>
  </sheetPr>
  <dimension ref="B1:AQ25"/>
  <sheetViews>
    <sheetView showGridLines="0" topLeftCell="I19" workbookViewId="0">
      <selection activeCell="AG29" sqref="AG29"/>
    </sheetView>
  </sheetViews>
  <sheetFormatPr defaultRowHeight="14.25"/>
  <cols>
    <col min="1" max="1" width="0.5" style="1" customWidth="1"/>
    <col min="2" max="2" width="2" style="1" customWidth="1"/>
    <col min="3" max="3" width="64.625" style="1" customWidth="1"/>
    <col min="4" max="43" width="4.625" style="1" customWidth="1"/>
    <col min="44" max="16384" width="9" style="1"/>
  </cols>
  <sheetData>
    <row r="1" spans="2:43" ht="90" customHeight="1" thickTop="1" thickBot="1">
      <c r="B1" s="211" t="s">
        <v>242</v>
      </c>
      <c r="C1" s="212"/>
      <c r="D1" s="212"/>
      <c r="E1" s="212"/>
      <c r="F1" s="212"/>
      <c r="G1" s="212"/>
      <c r="H1" s="212"/>
      <c r="I1" s="212"/>
      <c r="J1" s="212"/>
      <c r="K1" s="212"/>
      <c r="L1" s="212"/>
      <c r="M1" s="212"/>
      <c r="N1" s="212"/>
      <c r="O1" s="212"/>
      <c r="P1" s="212"/>
      <c r="Q1" s="212"/>
      <c r="R1" s="212"/>
      <c r="S1" s="212"/>
      <c r="T1" s="212"/>
      <c r="U1" s="212"/>
      <c r="V1" s="212"/>
      <c r="W1" s="212"/>
      <c r="X1" s="212"/>
      <c r="Y1" s="212"/>
      <c r="Z1" s="212"/>
      <c r="AA1" s="212"/>
      <c r="AB1" s="212"/>
      <c r="AC1" s="212"/>
      <c r="AD1" s="212"/>
      <c r="AE1" s="212"/>
      <c r="AF1" s="212"/>
      <c r="AG1" s="212"/>
      <c r="AH1" s="212"/>
      <c r="AI1" s="212"/>
      <c r="AJ1" s="212"/>
      <c r="AK1" s="212"/>
      <c r="AL1" s="212"/>
      <c r="AM1" s="212"/>
      <c r="AN1" s="212"/>
      <c r="AO1" s="212"/>
      <c r="AP1" s="212"/>
      <c r="AQ1" s="213"/>
    </row>
    <row r="2" spans="2:43" ht="31.5" customHeight="1" thickBot="1">
      <c r="B2" s="207" t="s">
        <v>61</v>
      </c>
      <c r="C2" s="208"/>
      <c r="D2" s="209"/>
      <c r="E2" s="209"/>
      <c r="F2" s="209"/>
      <c r="G2" s="209"/>
      <c r="H2" s="209"/>
      <c r="I2" s="209"/>
      <c r="J2" s="209"/>
      <c r="K2" s="209"/>
      <c r="L2" s="209"/>
      <c r="M2" s="209"/>
      <c r="N2" s="209"/>
      <c r="O2" s="209"/>
      <c r="P2" s="209"/>
      <c r="Q2" s="209"/>
      <c r="R2" s="209"/>
      <c r="S2" s="209"/>
      <c r="T2" s="209"/>
      <c r="U2" s="209"/>
      <c r="V2" s="209"/>
      <c r="W2" s="209"/>
      <c r="X2" s="209"/>
      <c r="Y2" s="209"/>
      <c r="Z2" s="209"/>
      <c r="AA2" s="209"/>
      <c r="AB2" s="209"/>
      <c r="AC2" s="209"/>
      <c r="AD2" s="209"/>
      <c r="AE2" s="209"/>
      <c r="AF2" s="209"/>
      <c r="AG2" s="209"/>
      <c r="AH2" s="209"/>
      <c r="AI2" s="209"/>
      <c r="AJ2" s="209"/>
      <c r="AK2" s="209"/>
      <c r="AL2" s="209"/>
      <c r="AM2" s="209"/>
      <c r="AN2" s="209"/>
      <c r="AO2" s="209"/>
      <c r="AP2" s="209"/>
      <c r="AQ2" s="210"/>
    </row>
    <row r="3" spans="2:43" ht="187.5" customHeight="1" thickTop="1" thickBot="1">
      <c r="B3" s="214" t="s">
        <v>46</v>
      </c>
      <c r="C3" s="215"/>
      <c r="D3" s="87" t="str">
        <f ca="1">OFFSET('Öğrenci Bilgileri'!$D$4, COLUMN(A1)-1, 0)</f>
        <v>EKREM YEKREK</v>
      </c>
      <c r="E3" s="87" t="str">
        <f ca="1">OFFSET('Öğrenci Bilgileri'!$D$4, COLUMN(B1)-1, 0)</f>
        <v>SAMİ İL</v>
      </c>
      <c r="F3" s="87" t="str">
        <f ca="1">OFFSET('Öğrenci Bilgileri'!$D$4, COLUMN(C1)-1, 0)</f>
        <v>AHMET ÖZBAHAR</v>
      </c>
      <c r="G3" s="87" t="str">
        <f ca="1">OFFSET('Öğrenci Bilgileri'!$D$4, COLUMN(D1)-1, 0)</f>
        <v>FATMA ŞENGÜL</v>
      </c>
      <c r="H3" s="87" t="str">
        <f ca="1">OFFSET('Öğrenci Bilgileri'!$D$4, COLUMN(E1)-1, 0)</f>
        <v>GÖNÜL KORKUT</v>
      </c>
      <c r="I3" s="87" t="str">
        <f ca="1">OFFSET('Öğrenci Bilgileri'!$D$4, COLUMN(F1)-1, 0)</f>
        <v>MEHMET TANER</v>
      </c>
      <c r="J3" s="87" t="str">
        <f ca="1">OFFSET('Öğrenci Bilgileri'!$D$4, COLUMN(G1)-1, 0)</f>
        <v>HARUN DERİN</v>
      </c>
      <c r="K3" s="87" t="str">
        <f ca="1">OFFSET('Öğrenci Bilgileri'!$D$4, COLUMN(H1)-1, 0)</f>
        <v>MERVE KAMALAK</v>
      </c>
      <c r="L3" s="87" t="str">
        <f ca="1">OFFSET('Öğrenci Bilgileri'!$D$4, COLUMN(I1)-1, 0)</f>
        <v>ÜMRAN AYKIŞ</v>
      </c>
      <c r="M3" s="87" t="str">
        <f ca="1">OFFSET('Öğrenci Bilgileri'!$D$4, COLUMN(J1)-1, 0)</f>
        <v>IŞIL ÖZLER</v>
      </c>
      <c r="N3" s="87">
        <f ca="1">OFFSET('Öğrenci Bilgileri'!$D$4, COLUMN(K1)-1, 0)</f>
        <v>0</v>
      </c>
      <c r="O3" s="87">
        <f ca="1">OFFSET('Öğrenci Bilgileri'!$D$4, COLUMN(L1)-1, 0)</f>
        <v>0</v>
      </c>
      <c r="P3" s="87">
        <f ca="1">OFFSET('Öğrenci Bilgileri'!$D$4, COLUMN(M1)-1, 0)</f>
        <v>0</v>
      </c>
      <c r="Q3" s="87">
        <f ca="1">OFFSET('Öğrenci Bilgileri'!$D$4, COLUMN(N1)-1, 0)</f>
        <v>0</v>
      </c>
      <c r="R3" s="87">
        <f ca="1">OFFSET('Öğrenci Bilgileri'!$D$4, COLUMN(O1)-1, 0)</f>
        <v>0</v>
      </c>
      <c r="S3" s="87">
        <f ca="1">OFFSET('Öğrenci Bilgileri'!$D$4, COLUMN(P1)-1, 0)</f>
        <v>0</v>
      </c>
      <c r="T3" s="87">
        <f ca="1">OFFSET('Öğrenci Bilgileri'!$D$4, COLUMN(Q1)-1, 0)</f>
        <v>0</v>
      </c>
      <c r="U3" s="87">
        <f ca="1">OFFSET('Öğrenci Bilgileri'!$D$4, COLUMN(R1)-1, 0)</f>
        <v>0</v>
      </c>
      <c r="V3" s="87">
        <f ca="1">OFFSET('Öğrenci Bilgileri'!$D$4, COLUMN(S1)-1, 0)</f>
        <v>0</v>
      </c>
      <c r="W3" s="87">
        <f ca="1">OFFSET('Öğrenci Bilgileri'!$D$4, COLUMN(T1)-1, 0)</f>
        <v>0</v>
      </c>
      <c r="X3" s="87">
        <f ca="1">OFFSET('Öğrenci Bilgileri'!$D$4, COLUMN(U1)-1, 0)</f>
        <v>0</v>
      </c>
      <c r="Y3" s="87">
        <f ca="1">OFFSET('Öğrenci Bilgileri'!$D$4, COLUMN(V1)-1, 0)</f>
        <v>0</v>
      </c>
      <c r="Z3" s="87">
        <f ca="1">OFFSET('Öğrenci Bilgileri'!$D$4, COLUMN(W1)-1, 0)</f>
        <v>0</v>
      </c>
      <c r="AA3" s="87">
        <f ca="1">OFFSET('Öğrenci Bilgileri'!$D$4, COLUMN(X1)-1, 0)</f>
        <v>0</v>
      </c>
      <c r="AB3" s="87">
        <f ca="1">OFFSET('Öğrenci Bilgileri'!$D$4, COLUMN(Y1)-1, 0)</f>
        <v>0</v>
      </c>
      <c r="AC3" s="87">
        <f ca="1">OFFSET('Öğrenci Bilgileri'!$D$4, COLUMN(Z1)-1, 0)</f>
        <v>0</v>
      </c>
      <c r="AD3" s="87">
        <f ca="1">OFFSET('Öğrenci Bilgileri'!$D$4, COLUMN(AA1)-1, 0)</f>
        <v>0</v>
      </c>
      <c r="AE3" s="87">
        <f ca="1">OFFSET('Öğrenci Bilgileri'!$D$4, COLUMN(AB1)-1, 0)</f>
        <v>0</v>
      </c>
      <c r="AF3" s="87">
        <f ca="1">OFFSET('Öğrenci Bilgileri'!$D$4, COLUMN(AC1)-1, 0)</f>
        <v>0</v>
      </c>
      <c r="AG3" s="87">
        <f ca="1">OFFSET('Öğrenci Bilgileri'!$D$4, COLUMN(AD1)-1, 0)</f>
        <v>0</v>
      </c>
      <c r="AH3" s="87">
        <f ca="1">OFFSET('Öğrenci Bilgileri'!$D$4, COLUMN(AE1)-1, 0)</f>
        <v>0</v>
      </c>
      <c r="AI3" s="87">
        <f ca="1">OFFSET('Öğrenci Bilgileri'!$D$4, COLUMN(AF1)-1, 0)</f>
        <v>0</v>
      </c>
      <c r="AJ3" s="87">
        <f ca="1">OFFSET('Öğrenci Bilgileri'!$D$4, COLUMN(AG1)-1, 0)</f>
        <v>0</v>
      </c>
      <c r="AK3" s="87">
        <f ca="1">OFFSET('Öğrenci Bilgileri'!$D$4, COLUMN(AH1)-1, 0)</f>
        <v>0</v>
      </c>
      <c r="AL3" s="87">
        <f ca="1">OFFSET('Öğrenci Bilgileri'!$D$4, COLUMN(AI1)-1, 0)</f>
        <v>0</v>
      </c>
      <c r="AM3" s="87">
        <f ca="1">OFFSET('Öğrenci Bilgileri'!$D$4, COLUMN(AJ1)-1, 0)</f>
        <v>0</v>
      </c>
      <c r="AN3" s="87">
        <f ca="1">OFFSET('Öğrenci Bilgileri'!$D$4, COLUMN(AK1)-1, 0)</f>
        <v>0</v>
      </c>
      <c r="AO3" s="87">
        <f ca="1">OFFSET('Öğrenci Bilgileri'!$D$4, COLUMN(AL1)-1, 0)</f>
        <v>0</v>
      </c>
      <c r="AP3" s="87">
        <f ca="1">OFFSET('Öğrenci Bilgileri'!$D$4, COLUMN(AM1)-1, 0)</f>
        <v>0</v>
      </c>
      <c r="AQ3" s="87">
        <f ca="1">OFFSET('Öğrenci Bilgileri'!$D$4, COLUMN(AN1)-1, 0)</f>
        <v>0</v>
      </c>
    </row>
    <row r="4" spans="2:43" ht="45" customHeight="1" thickBot="1">
      <c r="B4" s="205" t="s">
        <v>19</v>
      </c>
      <c r="C4" s="206"/>
      <c r="D4" s="88">
        <v>3</v>
      </c>
      <c r="E4" s="79">
        <v>2</v>
      </c>
      <c r="F4" s="79">
        <v>1</v>
      </c>
      <c r="G4" s="79"/>
      <c r="H4" s="79"/>
      <c r="I4" s="79"/>
      <c r="J4" s="79"/>
      <c r="K4" s="79"/>
      <c r="L4" s="79"/>
      <c r="M4" s="79"/>
      <c r="N4" s="79"/>
      <c r="O4" s="79"/>
      <c r="P4" s="79"/>
      <c r="Q4" s="79"/>
      <c r="R4" s="79"/>
      <c r="S4" s="79"/>
      <c r="T4" s="79"/>
      <c r="U4" s="79"/>
      <c r="V4" s="79"/>
      <c r="W4" s="79"/>
      <c r="X4" s="79"/>
      <c r="Y4" s="79"/>
      <c r="Z4" s="79"/>
      <c r="AA4" s="79"/>
      <c r="AB4" s="79"/>
      <c r="AC4" s="79"/>
      <c r="AD4" s="79"/>
      <c r="AE4" s="79"/>
      <c r="AF4" s="79"/>
      <c r="AG4" s="79"/>
      <c r="AH4" s="79"/>
      <c r="AI4" s="79"/>
      <c r="AJ4" s="79"/>
      <c r="AK4" s="79"/>
      <c r="AL4" s="79"/>
      <c r="AM4" s="79"/>
      <c r="AN4" s="79"/>
      <c r="AO4" s="79"/>
      <c r="AP4" s="79"/>
      <c r="AQ4" s="80"/>
    </row>
    <row r="5" spans="2:43" ht="45" customHeight="1" thickBot="1">
      <c r="B5" s="205" t="s">
        <v>20</v>
      </c>
      <c r="C5" s="206"/>
      <c r="D5" s="88">
        <v>3</v>
      </c>
      <c r="E5" s="79">
        <v>2</v>
      </c>
      <c r="F5" s="79">
        <v>1</v>
      </c>
      <c r="G5" s="79"/>
      <c r="H5" s="79"/>
      <c r="I5" s="79"/>
      <c r="J5" s="79"/>
      <c r="K5" s="79"/>
      <c r="L5" s="79"/>
      <c r="M5" s="79"/>
      <c r="N5" s="79"/>
      <c r="O5" s="79"/>
      <c r="P5" s="79"/>
      <c r="Q5" s="79"/>
      <c r="R5" s="79"/>
      <c r="S5" s="79"/>
      <c r="T5" s="79"/>
      <c r="U5" s="79"/>
      <c r="V5" s="79"/>
      <c r="W5" s="79"/>
      <c r="X5" s="79"/>
      <c r="Y5" s="79"/>
      <c r="Z5" s="79"/>
      <c r="AA5" s="79"/>
      <c r="AB5" s="79"/>
      <c r="AC5" s="79"/>
      <c r="AD5" s="79"/>
      <c r="AE5" s="79"/>
      <c r="AF5" s="79"/>
      <c r="AG5" s="79"/>
      <c r="AH5" s="79"/>
      <c r="AI5" s="79"/>
      <c r="AJ5" s="79"/>
      <c r="AK5" s="79"/>
      <c r="AL5" s="79"/>
      <c r="AM5" s="79"/>
      <c r="AN5" s="79"/>
      <c r="AO5" s="79"/>
      <c r="AP5" s="79"/>
      <c r="AQ5" s="80"/>
    </row>
    <row r="6" spans="2:43" ht="45" customHeight="1" thickBot="1">
      <c r="B6" s="205" t="s">
        <v>21</v>
      </c>
      <c r="C6" s="206"/>
      <c r="D6" s="88">
        <v>3</v>
      </c>
      <c r="E6" s="79">
        <v>2</v>
      </c>
      <c r="F6" s="79">
        <v>1</v>
      </c>
      <c r="G6" s="79"/>
      <c r="H6" s="79"/>
      <c r="I6" s="79"/>
      <c r="J6" s="79"/>
      <c r="K6" s="79"/>
      <c r="L6" s="79"/>
      <c r="M6" s="79"/>
      <c r="N6" s="79"/>
      <c r="O6" s="79"/>
      <c r="P6" s="79"/>
      <c r="Q6" s="79"/>
      <c r="R6" s="79"/>
      <c r="S6" s="79"/>
      <c r="T6" s="79"/>
      <c r="U6" s="79"/>
      <c r="V6" s="79"/>
      <c r="W6" s="79"/>
      <c r="X6" s="79"/>
      <c r="Y6" s="79"/>
      <c r="Z6" s="79"/>
      <c r="AA6" s="79"/>
      <c r="AB6" s="79"/>
      <c r="AC6" s="79"/>
      <c r="AD6" s="79"/>
      <c r="AE6" s="79"/>
      <c r="AF6" s="79"/>
      <c r="AG6" s="79"/>
      <c r="AH6" s="79"/>
      <c r="AI6" s="79"/>
      <c r="AJ6" s="79"/>
      <c r="AK6" s="79"/>
      <c r="AL6" s="79"/>
      <c r="AM6" s="79"/>
      <c r="AN6" s="79"/>
      <c r="AO6" s="79"/>
      <c r="AP6" s="79"/>
      <c r="AQ6" s="80"/>
    </row>
    <row r="7" spans="2:43" ht="45" customHeight="1" thickBot="1">
      <c r="B7" s="205" t="s">
        <v>22</v>
      </c>
      <c r="C7" s="206"/>
      <c r="D7" s="88">
        <v>3</v>
      </c>
      <c r="E7" s="79">
        <v>2</v>
      </c>
      <c r="F7" s="79">
        <v>1</v>
      </c>
      <c r="G7" s="79"/>
      <c r="H7" s="79"/>
      <c r="I7" s="79"/>
      <c r="J7" s="79"/>
      <c r="K7" s="79"/>
      <c r="L7" s="79"/>
      <c r="M7" s="79"/>
      <c r="N7" s="79"/>
      <c r="O7" s="79"/>
      <c r="P7" s="79"/>
      <c r="Q7" s="79"/>
      <c r="R7" s="79"/>
      <c r="S7" s="79"/>
      <c r="T7" s="79"/>
      <c r="U7" s="79"/>
      <c r="V7" s="79"/>
      <c r="W7" s="79"/>
      <c r="X7" s="79"/>
      <c r="Y7" s="79"/>
      <c r="Z7" s="79"/>
      <c r="AA7" s="79"/>
      <c r="AB7" s="79"/>
      <c r="AC7" s="79"/>
      <c r="AD7" s="79"/>
      <c r="AE7" s="79"/>
      <c r="AF7" s="79"/>
      <c r="AG7" s="79"/>
      <c r="AH7" s="79"/>
      <c r="AI7" s="79"/>
      <c r="AJ7" s="79"/>
      <c r="AK7" s="79"/>
      <c r="AL7" s="79"/>
      <c r="AM7" s="79"/>
      <c r="AN7" s="79"/>
      <c r="AO7" s="79"/>
      <c r="AP7" s="79"/>
      <c r="AQ7" s="80"/>
    </row>
    <row r="8" spans="2:43" ht="45" customHeight="1" thickBot="1">
      <c r="B8" s="205" t="s">
        <v>23</v>
      </c>
      <c r="C8" s="206"/>
      <c r="D8" s="88">
        <v>3</v>
      </c>
      <c r="E8" s="79">
        <v>2</v>
      </c>
      <c r="F8" s="79">
        <v>1</v>
      </c>
      <c r="G8" s="79"/>
      <c r="H8" s="79"/>
      <c r="I8" s="79"/>
      <c r="J8" s="79"/>
      <c r="K8" s="79"/>
      <c r="L8" s="79"/>
      <c r="M8" s="79"/>
      <c r="N8" s="79"/>
      <c r="O8" s="79"/>
      <c r="P8" s="79"/>
      <c r="Q8" s="79"/>
      <c r="R8" s="79"/>
      <c r="S8" s="79"/>
      <c r="T8" s="79"/>
      <c r="U8" s="79"/>
      <c r="V8" s="79"/>
      <c r="W8" s="79"/>
      <c r="X8" s="79"/>
      <c r="Y8" s="79"/>
      <c r="Z8" s="79"/>
      <c r="AA8" s="79"/>
      <c r="AB8" s="79"/>
      <c r="AC8" s="79"/>
      <c r="AD8" s="79"/>
      <c r="AE8" s="79"/>
      <c r="AF8" s="79"/>
      <c r="AG8" s="79"/>
      <c r="AH8" s="79"/>
      <c r="AI8" s="79"/>
      <c r="AJ8" s="79"/>
      <c r="AK8" s="79"/>
      <c r="AL8" s="79"/>
      <c r="AM8" s="79"/>
      <c r="AN8" s="79"/>
      <c r="AO8" s="79"/>
      <c r="AP8" s="79"/>
      <c r="AQ8" s="80"/>
    </row>
    <row r="9" spans="2:43" ht="45" customHeight="1" thickBot="1">
      <c r="B9" s="205" t="s">
        <v>24</v>
      </c>
      <c r="C9" s="206"/>
      <c r="D9" s="88">
        <v>3</v>
      </c>
      <c r="E9" s="79">
        <v>2</v>
      </c>
      <c r="F9" s="79">
        <v>1</v>
      </c>
      <c r="G9" s="79"/>
      <c r="H9" s="79"/>
      <c r="I9" s="79"/>
      <c r="J9" s="79"/>
      <c r="K9" s="79"/>
      <c r="L9" s="79"/>
      <c r="M9" s="79"/>
      <c r="N9" s="79"/>
      <c r="O9" s="79"/>
      <c r="P9" s="79"/>
      <c r="Q9" s="79"/>
      <c r="R9" s="79"/>
      <c r="S9" s="79"/>
      <c r="T9" s="79"/>
      <c r="U9" s="79"/>
      <c r="V9" s="79"/>
      <c r="W9" s="79"/>
      <c r="X9" s="79"/>
      <c r="Y9" s="79"/>
      <c r="Z9" s="79"/>
      <c r="AA9" s="79"/>
      <c r="AB9" s="79"/>
      <c r="AC9" s="79"/>
      <c r="AD9" s="79"/>
      <c r="AE9" s="79"/>
      <c r="AF9" s="79"/>
      <c r="AG9" s="79"/>
      <c r="AH9" s="79"/>
      <c r="AI9" s="79"/>
      <c r="AJ9" s="79"/>
      <c r="AK9" s="79"/>
      <c r="AL9" s="79"/>
      <c r="AM9" s="79"/>
      <c r="AN9" s="79"/>
      <c r="AO9" s="79"/>
      <c r="AP9" s="79"/>
      <c r="AQ9" s="80"/>
    </row>
    <row r="10" spans="2:43" ht="45" customHeight="1" thickBot="1">
      <c r="B10" s="205" t="s">
        <v>25</v>
      </c>
      <c r="C10" s="206"/>
      <c r="D10" s="88">
        <v>3</v>
      </c>
      <c r="E10" s="79">
        <v>2</v>
      </c>
      <c r="F10" s="79">
        <v>1</v>
      </c>
      <c r="G10" s="79"/>
      <c r="H10" s="79"/>
      <c r="I10" s="79"/>
      <c r="J10" s="79"/>
      <c r="K10" s="79"/>
      <c r="L10" s="79"/>
      <c r="M10" s="79"/>
      <c r="N10" s="79"/>
      <c r="O10" s="79"/>
      <c r="P10" s="79"/>
      <c r="Q10" s="79"/>
      <c r="R10" s="79"/>
      <c r="S10" s="79"/>
      <c r="T10" s="79"/>
      <c r="U10" s="79"/>
      <c r="V10" s="79"/>
      <c r="W10" s="79"/>
      <c r="X10" s="79"/>
      <c r="Y10" s="79"/>
      <c r="Z10" s="79"/>
      <c r="AA10" s="79"/>
      <c r="AB10" s="79"/>
      <c r="AC10" s="79"/>
      <c r="AD10" s="79"/>
      <c r="AE10" s="79"/>
      <c r="AF10" s="79"/>
      <c r="AG10" s="79"/>
      <c r="AH10" s="79"/>
      <c r="AI10" s="79"/>
      <c r="AJ10" s="79"/>
      <c r="AK10" s="79"/>
      <c r="AL10" s="79"/>
      <c r="AM10" s="79"/>
      <c r="AN10" s="79"/>
      <c r="AO10" s="79"/>
      <c r="AP10" s="79"/>
      <c r="AQ10" s="80"/>
    </row>
    <row r="11" spans="2:43" ht="45" customHeight="1" thickBot="1">
      <c r="B11" s="205" t="s">
        <v>26</v>
      </c>
      <c r="C11" s="206"/>
      <c r="D11" s="88">
        <v>3</v>
      </c>
      <c r="E11" s="79">
        <v>2</v>
      </c>
      <c r="F11" s="79">
        <v>1</v>
      </c>
      <c r="G11" s="79"/>
      <c r="H11" s="79"/>
      <c r="I11" s="79"/>
      <c r="J11" s="79"/>
      <c r="K11" s="79"/>
      <c r="L11" s="79"/>
      <c r="M11" s="79"/>
      <c r="N11" s="79"/>
      <c r="O11" s="79"/>
      <c r="P11" s="79"/>
      <c r="Q11" s="79"/>
      <c r="R11" s="79"/>
      <c r="S11" s="79"/>
      <c r="T11" s="79"/>
      <c r="U11" s="79"/>
      <c r="V11" s="79"/>
      <c r="W11" s="79"/>
      <c r="X11" s="79"/>
      <c r="Y11" s="79"/>
      <c r="Z11" s="79"/>
      <c r="AA11" s="79"/>
      <c r="AB11" s="79"/>
      <c r="AC11" s="79"/>
      <c r="AD11" s="79"/>
      <c r="AE11" s="79"/>
      <c r="AF11" s="79"/>
      <c r="AG11" s="79"/>
      <c r="AH11" s="79"/>
      <c r="AI11" s="79"/>
      <c r="AJ11" s="79"/>
      <c r="AK11" s="79"/>
      <c r="AL11" s="79"/>
      <c r="AM11" s="79"/>
      <c r="AN11" s="79"/>
      <c r="AO11" s="79"/>
      <c r="AP11" s="79"/>
      <c r="AQ11" s="80"/>
    </row>
    <row r="12" spans="2:43" ht="45" customHeight="1" thickBot="1">
      <c r="B12" s="205" t="s">
        <v>27</v>
      </c>
      <c r="C12" s="206"/>
      <c r="D12" s="88">
        <v>3</v>
      </c>
      <c r="E12" s="79">
        <v>2</v>
      </c>
      <c r="F12" s="79">
        <v>1</v>
      </c>
      <c r="G12" s="79"/>
      <c r="H12" s="79"/>
      <c r="I12" s="79"/>
      <c r="J12" s="79"/>
      <c r="K12" s="79"/>
      <c r="L12" s="79"/>
      <c r="M12" s="79"/>
      <c r="N12" s="79"/>
      <c r="O12" s="79"/>
      <c r="P12" s="79"/>
      <c r="Q12" s="79"/>
      <c r="R12" s="79"/>
      <c r="S12" s="79"/>
      <c r="T12" s="79"/>
      <c r="U12" s="79"/>
      <c r="V12" s="79"/>
      <c r="W12" s="79"/>
      <c r="X12" s="79"/>
      <c r="Y12" s="79"/>
      <c r="Z12" s="79"/>
      <c r="AA12" s="79"/>
      <c r="AB12" s="79"/>
      <c r="AC12" s="79"/>
      <c r="AD12" s="79"/>
      <c r="AE12" s="79"/>
      <c r="AF12" s="79"/>
      <c r="AG12" s="79"/>
      <c r="AH12" s="79"/>
      <c r="AI12" s="79"/>
      <c r="AJ12" s="79"/>
      <c r="AK12" s="79"/>
      <c r="AL12" s="79"/>
      <c r="AM12" s="79"/>
      <c r="AN12" s="79"/>
      <c r="AO12" s="79"/>
      <c r="AP12" s="79"/>
      <c r="AQ12" s="80"/>
    </row>
    <row r="13" spans="2:43" ht="45" customHeight="1" thickBot="1">
      <c r="B13" s="205" t="s">
        <v>28</v>
      </c>
      <c r="C13" s="206"/>
      <c r="D13" s="88">
        <v>3</v>
      </c>
      <c r="E13" s="79">
        <v>2</v>
      </c>
      <c r="F13" s="79">
        <v>1</v>
      </c>
      <c r="G13" s="79"/>
      <c r="H13" s="79"/>
      <c r="I13" s="79"/>
      <c r="J13" s="79"/>
      <c r="K13" s="79"/>
      <c r="L13" s="79"/>
      <c r="M13" s="79"/>
      <c r="N13" s="79"/>
      <c r="O13" s="79"/>
      <c r="P13" s="79"/>
      <c r="Q13" s="79"/>
      <c r="R13" s="79"/>
      <c r="S13" s="79"/>
      <c r="T13" s="79"/>
      <c r="U13" s="79"/>
      <c r="V13" s="79"/>
      <c r="W13" s="79"/>
      <c r="X13" s="79"/>
      <c r="Y13" s="79"/>
      <c r="Z13" s="79"/>
      <c r="AA13" s="79"/>
      <c r="AB13" s="79"/>
      <c r="AC13" s="79"/>
      <c r="AD13" s="79"/>
      <c r="AE13" s="79"/>
      <c r="AF13" s="79"/>
      <c r="AG13" s="79"/>
      <c r="AH13" s="79"/>
      <c r="AI13" s="79"/>
      <c r="AJ13" s="79"/>
      <c r="AK13" s="79"/>
      <c r="AL13" s="79"/>
      <c r="AM13" s="79"/>
      <c r="AN13" s="79"/>
      <c r="AO13" s="79"/>
      <c r="AP13" s="79"/>
      <c r="AQ13" s="80"/>
    </row>
    <row r="14" spans="2:43" ht="45" customHeight="1" thickBot="1">
      <c r="B14" s="205" t="s">
        <v>29</v>
      </c>
      <c r="C14" s="206"/>
      <c r="D14" s="88">
        <v>3</v>
      </c>
      <c r="E14" s="79">
        <v>2</v>
      </c>
      <c r="F14" s="79">
        <v>1</v>
      </c>
      <c r="G14" s="79"/>
      <c r="H14" s="79"/>
      <c r="I14" s="79"/>
      <c r="J14" s="79"/>
      <c r="K14" s="79"/>
      <c r="L14" s="79"/>
      <c r="M14" s="79"/>
      <c r="N14" s="79"/>
      <c r="O14" s="79"/>
      <c r="P14" s="79"/>
      <c r="Q14" s="79"/>
      <c r="R14" s="79"/>
      <c r="S14" s="79"/>
      <c r="T14" s="79"/>
      <c r="U14" s="79"/>
      <c r="V14" s="79"/>
      <c r="W14" s="79"/>
      <c r="X14" s="79"/>
      <c r="Y14" s="79"/>
      <c r="Z14" s="79"/>
      <c r="AA14" s="79"/>
      <c r="AB14" s="79"/>
      <c r="AC14" s="79"/>
      <c r="AD14" s="79"/>
      <c r="AE14" s="79"/>
      <c r="AF14" s="79"/>
      <c r="AG14" s="79"/>
      <c r="AH14" s="79"/>
      <c r="AI14" s="79"/>
      <c r="AJ14" s="79"/>
      <c r="AK14" s="79"/>
      <c r="AL14" s="79"/>
      <c r="AM14" s="79"/>
      <c r="AN14" s="79"/>
      <c r="AO14" s="79"/>
      <c r="AP14" s="79"/>
      <c r="AQ14" s="80"/>
    </row>
    <row r="15" spans="2:43" ht="45" customHeight="1" thickBot="1">
      <c r="B15" s="205" t="s">
        <v>30</v>
      </c>
      <c r="C15" s="206"/>
      <c r="D15" s="88">
        <v>3</v>
      </c>
      <c r="E15" s="79">
        <v>2</v>
      </c>
      <c r="F15" s="79">
        <v>1</v>
      </c>
      <c r="G15" s="79"/>
      <c r="H15" s="79"/>
      <c r="I15" s="79"/>
      <c r="J15" s="79"/>
      <c r="K15" s="79"/>
      <c r="L15" s="79"/>
      <c r="M15" s="79"/>
      <c r="N15" s="79"/>
      <c r="O15" s="79"/>
      <c r="P15" s="79"/>
      <c r="Q15" s="79"/>
      <c r="R15" s="79"/>
      <c r="S15" s="79"/>
      <c r="T15" s="79"/>
      <c r="U15" s="79"/>
      <c r="V15" s="79"/>
      <c r="W15" s="79"/>
      <c r="X15" s="79"/>
      <c r="Y15" s="79"/>
      <c r="Z15" s="79"/>
      <c r="AA15" s="79"/>
      <c r="AB15" s="79"/>
      <c r="AC15" s="79"/>
      <c r="AD15" s="79"/>
      <c r="AE15" s="79"/>
      <c r="AF15" s="79"/>
      <c r="AG15" s="79"/>
      <c r="AH15" s="79"/>
      <c r="AI15" s="79"/>
      <c r="AJ15" s="79"/>
      <c r="AK15" s="79"/>
      <c r="AL15" s="79"/>
      <c r="AM15" s="79"/>
      <c r="AN15" s="79"/>
      <c r="AO15" s="79"/>
      <c r="AP15" s="79"/>
      <c r="AQ15" s="80"/>
    </row>
    <row r="16" spans="2:43" ht="45" customHeight="1" thickBot="1">
      <c r="B16" s="205" t="s">
        <v>31</v>
      </c>
      <c r="C16" s="206"/>
      <c r="D16" s="88">
        <v>3</v>
      </c>
      <c r="E16" s="79">
        <v>2</v>
      </c>
      <c r="F16" s="79">
        <v>1</v>
      </c>
      <c r="G16" s="79"/>
      <c r="H16" s="79"/>
      <c r="I16" s="79"/>
      <c r="J16" s="79"/>
      <c r="K16" s="79"/>
      <c r="L16" s="79"/>
      <c r="M16" s="79"/>
      <c r="N16" s="79"/>
      <c r="O16" s="79"/>
      <c r="P16" s="79"/>
      <c r="Q16" s="79"/>
      <c r="R16" s="79"/>
      <c r="S16" s="79"/>
      <c r="T16" s="79"/>
      <c r="U16" s="79"/>
      <c r="V16" s="79"/>
      <c r="W16" s="79"/>
      <c r="X16" s="79"/>
      <c r="Y16" s="79"/>
      <c r="Z16" s="79"/>
      <c r="AA16" s="79"/>
      <c r="AB16" s="79"/>
      <c r="AC16" s="79"/>
      <c r="AD16" s="79"/>
      <c r="AE16" s="79"/>
      <c r="AF16" s="79"/>
      <c r="AG16" s="79"/>
      <c r="AH16" s="79"/>
      <c r="AI16" s="79"/>
      <c r="AJ16" s="79"/>
      <c r="AK16" s="79"/>
      <c r="AL16" s="79"/>
      <c r="AM16" s="79"/>
      <c r="AN16" s="79"/>
      <c r="AO16" s="79"/>
      <c r="AP16" s="79"/>
      <c r="AQ16" s="80"/>
    </row>
    <row r="17" spans="2:43" ht="45" customHeight="1" thickBot="1">
      <c r="B17" s="216" t="s">
        <v>32</v>
      </c>
      <c r="C17" s="217"/>
      <c r="D17" s="88">
        <v>3</v>
      </c>
      <c r="E17" s="79">
        <v>2</v>
      </c>
      <c r="F17" s="79">
        <v>1</v>
      </c>
      <c r="G17" s="79"/>
      <c r="H17" s="79"/>
      <c r="I17" s="79"/>
      <c r="J17" s="79"/>
      <c r="K17" s="79"/>
      <c r="L17" s="79"/>
      <c r="M17" s="79"/>
      <c r="N17" s="79"/>
      <c r="O17" s="79"/>
      <c r="P17" s="79"/>
      <c r="Q17" s="79"/>
      <c r="R17" s="79"/>
      <c r="S17" s="79"/>
      <c r="T17" s="79"/>
      <c r="U17" s="79"/>
      <c r="V17" s="79"/>
      <c r="W17" s="79"/>
      <c r="X17" s="79"/>
      <c r="Y17" s="79"/>
      <c r="Z17" s="79"/>
      <c r="AA17" s="79"/>
      <c r="AB17" s="79"/>
      <c r="AC17" s="79"/>
      <c r="AD17" s="79"/>
      <c r="AE17" s="79"/>
      <c r="AF17" s="79"/>
      <c r="AG17" s="79"/>
      <c r="AH17" s="79"/>
      <c r="AI17" s="79"/>
      <c r="AJ17" s="79"/>
      <c r="AK17" s="79"/>
      <c r="AL17" s="79"/>
      <c r="AM17" s="79"/>
      <c r="AN17" s="79"/>
      <c r="AO17" s="79"/>
      <c r="AP17" s="79"/>
      <c r="AQ17" s="80"/>
    </row>
    <row r="18" spans="2:43" ht="45" customHeight="1" thickTop="1" thickBot="1">
      <c r="B18" s="218" t="s">
        <v>13</v>
      </c>
      <c r="C18" s="219"/>
      <c r="D18" s="89">
        <f>SUM(D4:D17)</f>
        <v>42</v>
      </c>
      <c r="E18" s="90">
        <f t="shared" ref="E18:AQ18" si="0">SUM(E4:E17)</f>
        <v>28</v>
      </c>
      <c r="F18" s="90">
        <f t="shared" si="0"/>
        <v>14</v>
      </c>
      <c r="G18" s="90">
        <f t="shared" si="0"/>
        <v>0</v>
      </c>
      <c r="H18" s="90">
        <f t="shared" si="0"/>
        <v>0</v>
      </c>
      <c r="I18" s="90">
        <f t="shared" si="0"/>
        <v>0</v>
      </c>
      <c r="J18" s="90">
        <f t="shared" si="0"/>
        <v>0</v>
      </c>
      <c r="K18" s="90">
        <f t="shared" si="0"/>
        <v>0</v>
      </c>
      <c r="L18" s="90">
        <f t="shared" si="0"/>
        <v>0</v>
      </c>
      <c r="M18" s="90">
        <f t="shared" si="0"/>
        <v>0</v>
      </c>
      <c r="N18" s="90">
        <f t="shared" si="0"/>
        <v>0</v>
      </c>
      <c r="O18" s="90">
        <f t="shared" si="0"/>
        <v>0</v>
      </c>
      <c r="P18" s="90">
        <f t="shared" si="0"/>
        <v>0</v>
      </c>
      <c r="Q18" s="90">
        <f t="shared" si="0"/>
        <v>0</v>
      </c>
      <c r="R18" s="90">
        <f t="shared" si="0"/>
        <v>0</v>
      </c>
      <c r="S18" s="90">
        <f t="shared" si="0"/>
        <v>0</v>
      </c>
      <c r="T18" s="90">
        <f t="shared" si="0"/>
        <v>0</v>
      </c>
      <c r="U18" s="90">
        <f t="shared" si="0"/>
        <v>0</v>
      </c>
      <c r="V18" s="90">
        <f t="shared" si="0"/>
        <v>0</v>
      </c>
      <c r="W18" s="90">
        <f t="shared" si="0"/>
        <v>0</v>
      </c>
      <c r="X18" s="90">
        <f t="shared" si="0"/>
        <v>0</v>
      </c>
      <c r="Y18" s="90">
        <f t="shared" si="0"/>
        <v>0</v>
      </c>
      <c r="Z18" s="90">
        <f t="shared" si="0"/>
        <v>0</v>
      </c>
      <c r="AA18" s="90">
        <f t="shared" si="0"/>
        <v>0</v>
      </c>
      <c r="AB18" s="90">
        <f t="shared" si="0"/>
        <v>0</v>
      </c>
      <c r="AC18" s="90">
        <f t="shared" si="0"/>
        <v>0</v>
      </c>
      <c r="AD18" s="90">
        <f t="shared" si="0"/>
        <v>0</v>
      </c>
      <c r="AE18" s="90">
        <f t="shared" si="0"/>
        <v>0</v>
      </c>
      <c r="AF18" s="90">
        <f t="shared" si="0"/>
        <v>0</v>
      </c>
      <c r="AG18" s="90">
        <f t="shared" si="0"/>
        <v>0</v>
      </c>
      <c r="AH18" s="90">
        <f t="shared" si="0"/>
        <v>0</v>
      </c>
      <c r="AI18" s="90">
        <f t="shared" si="0"/>
        <v>0</v>
      </c>
      <c r="AJ18" s="90">
        <f t="shared" si="0"/>
        <v>0</v>
      </c>
      <c r="AK18" s="90">
        <f t="shared" si="0"/>
        <v>0</v>
      </c>
      <c r="AL18" s="90">
        <f t="shared" si="0"/>
        <v>0</v>
      </c>
      <c r="AM18" s="90">
        <f t="shared" si="0"/>
        <v>0</v>
      </c>
      <c r="AN18" s="90">
        <f t="shared" si="0"/>
        <v>0</v>
      </c>
      <c r="AO18" s="90">
        <f t="shared" si="0"/>
        <v>0</v>
      </c>
      <c r="AP18" s="90">
        <f t="shared" si="0"/>
        <v>0</v>
      </c>
      <c r="AQ18" s="91">
        <f t="shared" si="0"/>
        <v>0</v>
      </c>
    </row>
    <row r="19" spans="2:43" ht="15" thickTop="1"/>
    <row r="20" spans="2:43" ht="22.5">
      <c r="AH20" s="186">
        <v>46402</v>
      </c>
      <c r="AI20" s="174"/>
      <c r="AJ20" s="174"/>
      <c r="AK20" s="174"/>
      <c r="AL20" s="174"/>
      <c r="AM20" s="174"/>
      <c r="AN20" s="174"/>
      <c r="AO20" s="174"/>
      <c r="AP20" s="174"/>
      <c r="AQ20" s="174"/>
    </row>
    <row r="21" spans="2:43">
      <c r="AH21"/>
      <c r="AI21"/>
      <c r="AJ21"/>
      <c r="AK21"/>
      <c r="AL21"/>
      <c r="AM21"/>
      <c r="AN21"/>
      <c r="AO21"/>
      <c r="AP21"/>
      <c r="AQ21"/>
    </row>
    <row r="22" spans="2:43">
      <c r="AH22"/>
      <c r="AI22"/>
      <c r="AJ22"/>
      <c r="AK22"/>
      <c r="AL22"/>
      <c r="AM22"/>
      <c r="AN22"/>
      <c r="AO22"/>
      <c r="AP22"/>
      <c r="AQ22"/>
    </row>
    <row r="23" spans="2:43">
      <c r="AH23"/>
      <c r="AI23"/>
      <c r="AJ23"/>
      <c r="AK23"/>
      <c r="AL23"/>
      <c r="AM23"/>
      <c r="AN23"/>
      <c r="AO23"/>
      <c r="AP23"/>
      <c r="AQ23"/>
    </row>
    <row r="24" spans="2:43" ht="19.5">
      <c r="AH24"/>
      <c r="AI24" s="173" t="s">
        <v>225</v>
      </c>
      <c r="AJ24" s="173"/>
      <c r="AK24" s="173"/>
      <c r="AL24" s="173"/>
      <c r="AM24" s="173"/>
      <c r="AN24" s="173"/>
      <c r="AO24" s="173"/>
      <c r="AP24" s="173"/>
      <c r="AQ24" s="173"/>
    </row>
    <row r="25" spans="2:43" ht="19.5">
      <c r="AH25"/>
      <c r="AI25" s="173" t="s">
        <v>39</v>
      </c>
      <c r="AJ25" s="173"/>
      <c r="AK25" s="173"/>
      <c r="AL25" s="173"/>
      <c r="AM25" s="173"/>
      <c r="AN25" s="173"/>
      <c r="AO25" s="173"/>
      <c r="AP25" s="173"/>
      <c r="AQ25" s="173"/>
    </row>
  </sheetData>
  <mergeCells count="21">
    <mergeCell ref="B17:C17"/>
    <mergeCell ref="AH20:AQ20"/>
    <mergeCell ref="AI24:AQ24"/>
    <mergeCell ref="AI25:AQ25"/>
    <mergeCell ref="B12:C12"/>
    <mergeCell ref="B13:C13"/>
    <mergeCell ref="B14:C14"/>
    <mergeCell ref="B15:C15"/>
    <mergeCell ref="B16:C16"/>
    <mergeCell ref="B18:C18"/>
    <mergeCell ref="B2:AQ2"/>
    <mergeCell ref="B1:AQ1"/>
    <mergeCell ref="B3:C3"/>
    <mergeCell ref="B4:C4"/>
    <mergeCell ref="B5:C5"/>
    <mergeCell ref="B11:C11"/>
    <mergeCell ref="B6:C6"/>
    <mergeCell ref="B7:C7"/>
    <mergeCell ref="B8:C8"/>
    <mergeCell ref="B9:C9"/>
    <mergeCell ref="B10:C10"/>
  </mergeCells>
  <pageMargins left="0.39370078740157483" right="0.31496062992125984" top="0.55118110236220474" bottom="0" header="0.31496062992125984" footer="0"/>
  <pageSetup scale="48"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pageSetUpPr fitToPage="1"/>
  </sheetPr>
  <dimension ref="B1:AQ17"/>
  <sheetViews>
    <sheetView showGridLines="0" topLeftCell="M16" zoomScale="110" zoomScaleNormal="110" workbookViewId="0">
      <selection activeCell="AK23" sqref="AK23"/>
    </sheetView>
  </sheetViews>
  <sheetFormatPr defaultRowHeight="14.25"/>
  <cols>
    <col min="1" max="1" width="0.875" style="1" customWidth="1"/>
    <col min="2" max="2" width="32.625" style="1" customWidth="1"/>
    <col min="3" max="3" width="40.875" style="1" customWidth="1"/>
    <col min="4" max="43" width="4.625" style="1" customWidth="1"/>
    <col min="44" max="16384" width="9" style="1"/>
  </cols>
  <sheetData>
    <row r="1" spans="2:43" ht="46.5" customHeight="1" thickTop="1" thickBot="1">
      <c r="B1" s="220" t="s">
        <v>243</v>
      </c>
      <c r="C1" s="221"/>
      <c r="D1" s="221"/>
      <c r="E1" s="221"/>
      <c r="F1" s="221"/>
      <c r="G1" s="221"/>
      <c r="H1" s="221"/>
      <c r="I1" s="221"/>
      <c r="J1" s="221"/>
      <c r="K1" s="221"/>
      <c r="L1" s="221"/>
      <c r="M1" s="221"/>
      <c r="N1" s="221"/>
      <c r="O1" s="221"/>
      <c r="P1" s="221"/>
      <c r="Q1" s="221"/>
      <c r="R1" s="221"/>
      <c r="S1" s="221"/>
      <c r="T1" s="221"/>
      <c r="U1" s="221"/>
      <c r="V1" s="221"/>
      <c r="W1" s="221"/>
      <c r="X1" s="221"/>
      <c r="Y1" s="221"/>
      <c r="Z1" s="221"/>
      <c r="AA1" s="221"/>
      <c r="AB1" s="221"/>
      <c r="AC1" s="221"/>
      <c r="AD1" s="221"/>
      <c r="AE1" s="221"/>
      <c r="AF1" s="221"/>
      <c r="AG1" s="221"/>
      <c r="AH1" s="221"/>
      <c r="AI1" s="221"/>
      <c r="AJ1" s="221"/>
      <c r="AK1" s="221"/>
      <c r="AL1" s="221"/>
      <c r="AM1" s="221"/>
      <c r="AN1" s="221"/>
      <c r="AO1" s="221"/>
      <c r="AP1" s="221"/>
      <c r="AQ1" s="222"/>
    </row>
    <row r="2" spans="2:43" ht="45" customHeight="1" thickTop="1" thickBot="1">
      <c r="B2" s="229" t="s">
        <v>62</v>
      </c>
      <c r="C2" s="230"/>
      <c r="D2" s="230"/>
      <c r="E2" s="230"/>
      <c r="F2" s="230"/>
      <c r="G2" s="230"/>
      <c r="H2" s="230"/>
      <c r="I2" s="230"/>
      <c r="J2" s="230"/>
      <c r="K2" s="230"/>
      <c r="L2" s="230"/>
      <c r="M2" s="230"/>
      <c r="N2" s="230"/>
      <c r="O2" s="230"/>
      <c r="P2" s="230"/>
      <c r="Q2" s="230"/>
      <c r="R2" s="230"/>
      <c r="S2" s="230"/>
      <c r="T2" s="230"/>
      <c r="U2" s="230"/>
      <c r="V2" s="230"/>
      <c r="W2" s="230"/>
      <c r="X2" s="230"/>
      <c r="Y2" s="230"/>
      <c r="Z2" s="230"/>
      <c r="AA2" s="230"/>
      <c r="AB2" s="230"/>
      <c r="AC2" s="230"/>
      <c r="AD2" s="230"/>
      <c r="AE2" s="230"/>
      <c r="AF2" s="230"/>
      <c r="AG2" s="230"/>
      <c r="AH2" s="230"/>
      <c r="AI2" s="230"/>
      <c r="AJ2" s="230"/>
      <c r="AK2" s="230"/>
      <c r="AL2" s="230"/>
      <c r="AM2" s="230"/>
      <c r="AN2" s="230"/>
      <c r="AO2" s="230"/>
      <c r="AP2" s="230"/>
      <c r="AQ2" s="231"/>
    </row>
    <row r="3" spans="2:43" ht="187.5" customHeight="1" thickTop="1" thickBot="1">
      <c r="B3" s="214" t="s">
        <v>46</v>
      </c>
      <c r="C3" s="215"/>
      <c r="D3" s="92" t="str">
        <f ca="1">OFFSET('Öğrenci Bilgileri'!$D$4, COLUMN(A1)-1, 0)</f>
        <v>EKREM YEKREK</v>
      </c>
      <c r="E3" s="92" t="str">
        <f ca="1">OFFSET('Öğrenci Bilgileri'!$D$4, COLUMN(B1)-1, 0)</f>
        <v>SAMİ İL</v>
      </c>
      <c r="F3" s="92" t="str">
        <f ca="1">OFFSET('Öğrenci Bilgileri'!$D$4, COLUMN(C1)-1, 0)</f>
        <v>AHMET ÖZBAHAR</v>
      </c>
      <c r="G3" s="92" t="str">
        <f ca="1">OFFSET('Öğrenci Bilgileri'!$D$4, COLUMN(D1)-1, 0)</f>
        <v>FATMA ŞENGÜL</v>
      </c>
      <c r="H3" s="92" t="str">
        <f ca="1">OFFSET('Öğrenci Bilgileri'!$D$4, COLUMN(E1)-1, 0)</f>
        <v>GÖNÜL KORKUT</v>
      </c>
      <c r="I3" s="92" t="str">
        <f ca="1">OFFSET('Öğrenci Bilgileri'!$D$4, COLUMN(F1)-1, 0)</f>
        <v>MEHMET TANER</v>
      </c>
      <c r="J3" s="92" t="str">
        <f ca="1">OFFSET('Öğrenci Bilgileri'!$D$4, COLUMN(G1)-1, 0)</f>
        <v>HARUN DERİN</v>
      </c>
      <c r="K3" s="92" t="str">
        <f ca="1">OFFSET('Öğrenci Bilgileri'!$D$4, COLUMN(H1)-1, 0)</f>
        <v>MERVE KAMALAK</v>
      </c>
      <c r="L3" s="92" t="str">
        <f ca="1">OFFSET('Öğrenci Bilgileri'!$D$4, COLUMN(I1)-1, 0)</f>
        <v>ÜMRAN AYKIŞ</v>
      </c>
      <c r="M3" s="92" t="str">
        <f ca="1">OFFSET('Öğrenci Bilgileri'!$D$4, COLUMN(J1)-1, 0)</f>
        <v>IŞIL ÖZLER</v>
      </c>
      <c r="N3" s="92">
        <f ca="1">OFFSET('Öğrenci Bilgileri'!$D$4, COLUMN(K1)-1, 0)</f>
        <v>0</v>
      </c>
      <c r="O3" s="92">
        <f ca="1">OFFSET('Öğrenci Bilgileri'!$D$4, COLUMN(L1)-1, 0)</f>
        <v>0</v>
      </c>
      <c r="P3" s="92">
        <f ca="1">OFFSET('Öğrenci Bilgileri'!$D$4, COLUMN(M1)-1, 0)</f>
        <v>0</v>
      </c>
      <c r="Q3" s="92">
        <f ca="1">OFFSET('Öğrenci Bilgileri'!$D$4, COLUMN(N1)-1, 0)</f>
        <v>0</v>
      </c>
      <c r="R3" s="92">
        <f ca="1">OFFSET('Öğrenci Bilgileri'!$D$4, COLUMN(O1)-1, 0)</f>
        <v>0</v>
      </c>
      <c r="S3" s="92">
        <f ca="1">OFFSET('Öğrenci Bilgileri'!$D$4, COLUMN(P1)-1, 0)</f>
        <v>0</v>
      </c>
      <c r="T3" s="92">
        <f ca="1">OFFSET('Öğrenci Bilgileri'!$D$4, COLUMN(Q1)-1, 0)</f>
        <v>0</v>
      </c>
      <c r="U3" s="92">
        <f ca="1">OFFSET('Öğrenci Bilgileri'!$D$4, COLUMN(R1)-1, 0)</f>
        <v>0</v>
      </c>
      <c r="V3" s="92">
        <f ca="1">OFFSET('Öğrenci Bilgileri'!$D$4, COLUMN(S1)-1, 0)</f>
        <v>0</v>
      </c>
      <c r="W3" s="92">
        <f ca="1">OFFSET('Öğrenci Bilgileri'!$D$4, COLUMN(T1)-1, 0)</f>
        <v>0</v>
      </c>
      <c r="X3" s="92">
        <f ca="1">OFFSET('Öğrenci Bilgileri'!$D$4, COLUMN(U1)-1, 0)</f>
        <v>0</v>
      </c>
      <c r="Y3" s="92">
        <f ca="1">OFFSET('Öğrenci Bilgileri'!$D$4, COLUMN(V1)-1, 0)</f>
        <v>0</v>
      </c>
      <c r="Z3" s="92">
        <f ca="1">OFFSET('Öğrenci Bilgileri'!$D$4, COLUMN(W1)-1, 0)</f>
        <v>0</v>
      </c>
      <c r="AA3" s="92">
        <f ca="1">OFFSET('Öğrenci Bilgileri'!$D$4, COLUMN(X1)-1, 0)</f>
        <v>0</v>
      </c>
      <c r="AB3" s="92">
        <f ca="1">OFFSET('Öğrenci Bilgileri'!$D$4, COLUMN(Y1)-1, 0)</f>
        <v>0</v>
      </c>
      <c r="AC3" s="92">
        <f ca="1">OFFSET('Öğrenci Bilgileri'!$D$4, COLUMN(Z1)-1, 0)</f>
        <v>0</v>
      </c>
      <c r="AD3" s="92">
        <f ca="1">OFFSET('Öğrenci Bilgileri'!$D$4, COLUMN(AA1)-1, 0)</f>
        <v>0</v>
      </c>
      <c r="AE3" s="92">
        <f ca="1">OFFSET('Öğrenci Bilgileri'!$D$4, COLUMN(AB1)-1, 0)</f>
        <v>0</v>
      </c>
      <c r="AF3" s="92">
        <f ca="1">OFFSET('Öğrenci Bilgileri'!$D$4, COLUMN(AC1)-1, 0)</f>
        <v>0</v>
      </c>
      <c r="AG3" s="92">
        <f ca="1">OFFSET('Öğrenci Bilgileri'!$D$4, COLUMN(AD1)-1, 0)</f>
        <v>0</v>
      </c>
      <c r="AH3" s="92">
        <f ca="1">OFFSET('Öğrenci Bilgileri'!$D$4, COLUMN(AE1)-1, 0)</f>
        <v>0</v>
      </c>
      <c r="AI3" s="92">
        <f ca="1">OFFSET('Öğrenci Bilgileri'!$D$4, COLUMN(AF1)-1, 0)</f>
        <v>0</v>
      </c>
      <c r="AJ3" s="92">
        <f ca="1">OFFSET('Öğrenci Bilgileri'!$D$4, COLUMN(AG1)-1, 0)</f>
        <v>0</v>
      </c>
      <c r="AK3" s="92">
        <f ca="1">OFFSET('Öğrenci Bilgileri'!$D$4, COLUMN(AH1)-1, 0)</f>
        <v>0</v>
      </c>
      <c r="AL3" s="92">
        <f ca="1">OFFSET('Öğrenci Bilgileri'!$D$4, COLUMN(AI1)-1, 0)</f>
        <v>0</v>
      </c>
      <c r="AM3" s="92">
        <f ca="1">OFFSET('Öğrenci Bilgileri'!$D$4, COLUMN(AJ1)-1, 0)</f>
        <v>0</v>
      </c>
      <c r="AN3" s="92">
        <f ca="1">OFFSET('Öğrenci Bilgileri'!$D$4, COLUMN(AK1)-1, 0)</f>
        <v>0</v>
      </c>
      <c r="AO3" s="92">
        <f ca="1">OFFSET('Öğrenci Bilgileri'!$D$4, COLUMN(AL1)-1, 0)</f>
        <v>0</v>
      </c>
      <c r="AP3" s="92">
        <f ca="1">OFFSET('Öğrenci Bilgileri'!$D$4, COLUMN(AM1)-1, 0)</f>
        <v>0</v>
      </c>
      <c r="AQ3" s="92">
        <f ca="1">OFFSET('Öğrenci Bilgileri'!$D$4, COLUMN(AN1)-1, 0)</f>
        <v>0</v>
      </c>
    </row>
    <row r="4" spans="2:43" ht="45" customHeight="1" thickBot="1">
      <c r="B4" s="225" t="s">
        <v>33</v>
      </c>
      <c r="C4" s="226"/>
      <c r="D4" s="93">
        <v>3</v>
      </c>
      <c r="E4" s="94">
        <v>2</v>
      </c>
      <c r="F4" s="94">
        <v>1</v>
      </c>
      <c r="G4" s="94"/>
      <c r="H4" s="94"/>
      <c r="I4" s="94"/>
      <c r="J4" s="94"/>
      <c r="K4" s="94"/>
      <c r="L4" s="94"/>
      <c r="M4" s="94"/>
      <c r="N4" s="94"/>
      <c r="O4" s="94"/>
      <c r="P4" s="94"/>
      <c r="Q4" s="94"/>
      <c r="R4" s="94"/>
      <c r="S4" s="94"/>
      <c r="T4" s="94"/>
      <c r="U4" s="94"/>
      <c r="V4" s="94"/>
      <c r="W4" s="94"/>
      <c r="X4" s="94"/>
      <c r="Y4" s="94"/>
      <c r="Z4" s="94"/>
      <c r="AA4" s="94"/>
      <c r="AB4" s="94"/>
      <c r="AC4" s="94"/>
      <c r="AD4" s="94"/>
      <c r="AE4" s="94"/>
      <c r="AF4" s="94"/>
      <c r="AG4" s="94"/>
      <c r="AH4" s="94"/>
      <c r="AI4" s="94"/>
      <c r="AJ4" s="94"/>
      <c r="AK4" s="94"/>
      <c r="AL4" s="94"/>
      <c r="AM4" s="94"/>
      <c r="AN4" s="94"/>
      <c r="AO4" s="94"/>
      <c r="AP4" s="94"/>
      <c r="AQ4" s="95"/>
    </row>
    <row r="5" spans="2:43" ht="45" customHeight="1" thickBot="1">
      <c r="B5" s="227" t="s">
        <v>34</v>
      </c>
      <c r="C5" s="228"/>
      <c r="D5" s="88">
        <v>3</v>
      </c>
      <c r="E5" s="79">
        <v>2</v>
      </c>
      <c r="F5" s="79">
        <v>1</v>
      </c>
      <c r="G5" s="79"/>
      <c r="H5" s="79"/>
      <c r="I5" s="79"/>
      <c r="J5" s="79"/>
      <c r="K5" s="79"/>
      <c r="L5" s="79"/>
      <c r="M5" s="79"/>
      <c r="N5" s="79"/>
      <c r="O5" s="79"/>
      <c r="P5" s="79"/>
      <c r="Q5" s="79"/>
      <c r="R5" s="79"/>
      <c r="S5" s="79"/>
      <c r="T5" s="79"/>
      <c r="U5" s="79"/>
      <c r="V5" s="79"/>
      <c r="W5" s="79"/>
      <c r="X5" s="79"/>
      <c r="Y5" s="79"/>
      <c r="Z5" s="79"/>
      <c r="AA5" s="79"/>
      <c r="AB5" s="79"/>
      <c r="AC5" s="79"/>
      <c r="AD5" s="79"/>
      <c r="AE5" s="79"/>
      <c r="AF5" s="79"/>
      <c r="AG5" s="79"/>
      <c r="AH5" s="79"/>
      <c r="AI5" s="79"/>
      <c r="AJ5" s="79"/>
      <c r="AK5" s="79"/>
      <c r="AL5" s="79"/>
      <c r="AM5" s="79"/>
      <c r="AN5" s="79"/>
      <c r="AO5" s="79"/>
      <c r="AP5" s="79"/>
      <c r="AQ5" s="80"/>
    </row>
    <row r="6" spans="2:43" ht="45" customHeight="1" thickBot="1">
      <c r="B6" s="227" t="s">
        <v>35</v>
      </c>
      <c r="C6" s="228"/>
      <c r="D6" s="88">
        <v>3</v>
      </c>
      <c r="E6" s="79">
        <v>2</v>
      </c>
      <c r="F6" s="79">
        <v>1</v>
      </c>
      <c r="G6" s="79"/>
      <c r="H6" s="79"/>
      <c r="I6" s="79"/>
      <c r="J6" s="79"/>
      <c r="K6" s="79"/>
      <c r="L6" s="79"/>
      <c r="M6" s="79"/>
      <c r="N6" s="79"/>
      <c r="O6" s="79"/>
      <c r="P6" s="79"/>
      <c r="Q6" s="79"/>
      <c r="R6" s="79"/>
      <c r="S6" s="79"/>
      <c r="T6" s="79"/>
      <c r="U6" s="79"/>
      <c r="V6" s="79"/>
      <c r="W6" s="79"/>
      <c r="X6" s="79"/>
      <c r="Y6" s="79"/>
      <c r="Z6" s="79"/>
      <c r="AA6" s="79"/>
      <c r="AB6" s="79"/>
      <c r="AC6" s="79"/>
      <c r="AD6" s="79"/>
      <c r="AE6" s="79"/>
      <c r="AF6" s="79"/>
      <c r="AG6" s="79"/>
      <c r="AH6" s="79"/>
      <c r="AI6" s="79"/>
      <c r="AJ6" s="79"/>
      <c r="AK6" s="79"/>
      <c r="AL6" s="79"/>
      <c r="AM6" s="79"/>
      <c r="AN6" s="79"/>
      <c r="AO6" s="79"/>
      <c r="AP6" s="79"/>
      <c r="AQ6" s="80"/>
    </row>
    <row r="7" spans="2:43" ht="45" customHeight="1" thickBot="1">
      <c r="B7" s="227" t="s">
        <v>36</v>
      </c>
      <c r="C7" s="228"/>
      <c r="D7" s="88">
        <v>3</v>
      </c>
      <c r="E7" s="79">
        <v>2</v>
      </c>
      <c r="F7" s="79">
        <v>1</v>
      </c>
      <c r="G7" s="79"/>
      <c r="H7" s="79"/>
      <c r="I7" s="79"/>
      <c r="J7" s="79"/>
      <c r="K7" s="79"/>
      <c r="L7" s="79"/>
      <c r="M7" s="79"/>
      <c r="N7" s="79"/>
      <c r="O7" s="79"/>
      <c r="P7" s="79"/>
      <c r="Q7" s="79"/>
      <c r="R7" s="79"/>
      <c r="S7" s="79"/>
      <c r="T7" s="79"/>
      <c r="U7" s="79"/>
      <c r="V7" s="79"/>
      <c r="W7" s="79"/>
      <c r="X7" s="79"/>
      <c r="Y7" s="79"/>
      <c r="Z7" s="79"/>
      <c r="AA7" s="79"/>
      <c r="AB7" s="79"/>
      <c r="AC7" s="79"/>
      <c r="AD7" s="79"/>
      <c r="AE7" s="79"/>
      <c r="AF7" s="79"/>
      <c r="AG7" s="79"/>
      <c r="AH7" s="79"/>
      <c r="AI7" s="79"/>
      <c r="AJ7" s="79"/>
      <c r="AK7" s="79"/>
      <c r="AL7" s="79"/>
      <c r="AM7" s="79"/>
      <c r="AN7" s="79"/>
      <c r="AO7" s="79"/>
      <c r="AP7" s="79"/>
      <c r="AQ7" s="80"/>
    </row>
    <row r="8" spans="2:43" ht="45" customHeight="1" thickBot="1">
      <c r="B8" s="227" t="s">
        <v>37</v>
      </c>
      <c r="C8" s="228"/>
      <c r="D8" s="88">
        <v>3</v>
      </c>
      <c r="E8" s="79">
        <v>2</v>
      </c>
      <c r="F8" s="79">
        <v>1</v>
      </c>
      <c r="G8" s="79"/>
      <c r="H8" s="79"/>
      <c r="I8" s="79"/>
      <c r="J8" s="79"/>
      <c r="K8" s="79"/>
      <c r="L8" s="79"/>
      <c r="M8" s="79"/>
      <c r="N8" s="79"/>
      <c r="O8" s="79"/>
      <c r="P8" s="79"/>
      <c r="Q8" s="79"/>
      <c r="R8" s="79"/>
      <c r="S8" s="79"/>
      <c r="T8" s="79"/>
      <c r="U8" s="79"/>
      <c r="V8" s="79"/>
      <c r="W8" s="79"/>
      <c r="X8" s="79"/>
      <c r="Y8" s="79"/>
      <c r="Z8" s="79"/>
      <c r="AA8" s="79"/>
      <c r="AB8" s="79"/>
      <c r="AC8" s="79"/>
      <c r="AD8" s="79"/>
      <c r="AE8" s="79"/>
      <c r="AF8" s="79"/>
      <c r="AG8" s="79"/>
      <c r="AH8" s="79"/>
      <c r="AI8" s="79"/>
      <c r="AJ8" s="79"/>
      <c r="AK8" s="79"/>
      <c r="AL8" s="79"/>
      <c r="AM8" s="79"/>
      <c r="AN8" s="79"/>
      <c r="AO8" s="79"/>
      <c r="AP8" s="79"/>
      <c r="AQ8" s="80"/>
    </row>
    <row r="9" spans="2:43" ht="45" customHeight="1" thickBot="1">
      <c r="B9" s="223" t="s">
        <v>38</v>
      </c>
      <c r="C9" s="224"/>
      <c r="D9" s="88">
        <v>3</v>
      </c>
      <c r="E9" s="79">
        <v>2</v>
      </c>
      <c r="F9" s="79">
        <v>1</v>
      </c>
      <c r="G9" s="79"/>
      <c r="H9" s="79"/>
      <c r="I9" s="79"/>
      <c r="J9" s="79"/>
      <c r="K9" s="79"/>
      <c r="L9" s="79"/>
      <c r="M9" s="79"/>
      <c r="N9" s="79"/>
      <c r="O9" s="79"/>
      <c r="P9" s="79"/>
      <c r="Q9" s="79"/>
      <c r="R9" s="79"/>
      <c r="S9" s="79"/>
      <c r="T9" s="79"/>
      <c r="U9" s="79"/>
      <c r="V9" s="79"/>
      <c r="W9" s="79"/>
      <c r="X9" s="79"/>
      <c r="Y9" s="79"/>
      <c r="Z9" s="79"/>
      <c r="AA9" s="79"/>
      <c r="AB9" s="79"/>
      <c r="AC9" s="79"/>
      <c r="AD9" s="79"/>
      <c r="AE9" s="79"/>
      <c r="AF9" s="79"/>
      <c r="AG9" s="79"/>
      <c r="AH9" s="79"/>
      <c r="AI9" s="79"/>
      <c r="AJ9" s="79"/>
      <c r="AK9" s="79"/>
      <c r="AL9" s="79"/>
      <c r="AM9" s="79"/>
      <c r="AN9" s="79"/>
      <c r="AO9" s="79"/>
      <c r="AP9" s="79"/>
      <c r="AQ9" s="80"/>
    </row>
    <row r="10" spans="2:43" ht="45" customHeight="1" thickTop="1" thickBot="1">
      <c r="B10" s="218" t="s">
        <v>13</v>
      </c>
      <c r="C10" s="219"/>
      <c r="D10" s="96">
        <f t="shared" ref="D10:AQ10" si="0">SUM(D4:D9)</f>
        <v>18</v>
      </c>
      <c r="E10" s="85">
        <f t="shared" si="0"/>
        <v>12</v>
      </c>
      <c r="F10" s="85">
        <f t="shared" si="0"/>
        <v>6</v>
      </c>
      <c r="G10" s="85">
        <f t="shared" si="0"/>
        <v>0</v>
      </c>
      <c r="H10" s="85">
        <f t="shared" si="0"/>
        <v>0</v>
      </c>
      <c r="I10" s="85">
        <f t="shared" si="0"/>
        <v>0</v>
      </c>
      <c r="J10" s="85">
        <f t="shared" si="0"/>
        <v>0</v>
      </c>
      <c r="K10" s="85">
        <f t="shared" si="0"/>
        <v>0</v>
      </c>
      <c r="L10" s="85">
        <f t="shared" si="0"/>
        <v>0</v>
      </c>
      <c r="M10" s="85">
        <f t="shared" si="0"/>
        <v>0</v>
      </c>
      <c r="N10" s="85">
        <f t="shared" si="0"/>
        <v>0</v>
      </c>
      <c r="O10" s="85">
        <f t="shared" si="0"/>
        <v>0</v>
      </c>
      <c r="P10" s="85">
        <f t="shared" si="0"/>
        <v>0</v>
      </c>
      <c r="Q10" s="85">
        <f t="shared" si="0"/>
        <v>0</v>
      </c>
      <c r="R10" s="85">
        <f t="shared" si="0"/>
        <v>0</v>
      </c>
      <c r="S10" s="85">
        <f t="shared" si="0"/>
        <v>0</v>
      </c>
      <c r="T10" s="85">
        <f t="shared" si="0"/>
        <v>0</v>
      </c>
      <c r="U10" s="85">
        <f t="shared" si="0"/>
        <v>0</v>
      </c>
      <c r="V10" s="85">
        <f t="shared" si="0"/>
        <v>0</v>
      </c>
      <c r="W10" s="85">
        <f t="shared" si="0"/>
        <v>0</v>
      </c>
      <c r="X10" s="85">
        <f t="shared" si="0"/>
        <v>0</v>
      </c>
      <c r="Y10" s="85">
        <f t="shared" si="0"/>
        <v>0</v>
      </c>
      <c r="Z10" s="85">
        <f t="shared" si="0"/>
        <v>0</v>
      </c>
      <c r="AA10" s="85">
        <f t="shared" si="0"/>
        <v>0</v>
      </c>
      <c r="AB10" s="85">
        <f t="shared" si="0"/>
        <v>0</v>
      </c>
      <c r="AC10" s="85">
        <f t="shared" si="0"/>
        <v>0</v>
      </c>
      <c r="AD10" s="85">
        <f t="shared" si="0"/>
        <v>0</v>
      </c>
      <c r="AE10" s="85">
        <f t="shared" si="0"/>
        <v>0</v>
      </c>
      <c r="AF10" s="85">
        <f t="shared" si="0"/>
        <v>0</v>
      </c>
      <c r="AG10" s="85">
        <f t="shared" si="0"/>
        <v>0</v>
      </c>
      <c r="AH10" s="85">
        <f t="shared" si="0"/>
        <v>0</v>
      </c>
      <c r="AI10" s="85">
        <f t="shared" si="0"/>
        <v>0</v>
      </c>
      <c r="AJ10" s="85">
        <f t="shared" si="0"/>
        <v>0</v>
      </c>
      <c r="AK10" s="85">
        <f t="shared" si="0"/>
        <v>0</v>
      </c>
      <c r="AL10" s="85">
        <f t="shared" si="0"/>
        <v>0</v>
      </c>
      <c r="AM10" s="85">
        <f t="shared" si="0"/>
        <v>0</v>
      </c>
      <c r="AN10" s="85">
        <f t="shared" si="0"/>
        <v>0</v>
      </c>
      <c r="AO10" s="85">
        <f t="shared" si="0"/>
        <v>0</v>
      </c>
      <c r="AP10" s="85">
        <f t="shared" si="0"/>
        <v>0</v>
      </c>
      <c r="AQ10" s="86">
        <f t="shared" si="0"/>
        <v>0</v>
      </c>
    </row>
    <row r="11" spans="2:43" ht="15" thickTop="1"/>
    <row r="12" spans="2:43" ht="22.5">
      <c r="AH12" s="186">
        <v>46402</v>
      </c>
      <c r="AI12" s="174"/>
      <c r="AJ12" s="174"/>
      <c r="AK12" s="174"/>
      <c r="AL12" s="174"/>
      <c r="AM12" s="174"/>
      <c r="AN12" s="174"/>
      <c r="AO12" s="174"/>
      <c r="AP12" s="174"/>
      <c r="AQ12" s="174"/>
    </row>
    <row r="13" spans="2:43">
      <c r="AH13"/>
      <c r="AI13"/>
      <c r="AJ13"/>
      <c r="AK13"/>
      <c r="AL13"/>
      <c r="AM13"/>
      <c r="AN13"/>
      <c r="AO13"/>
      <c r="AP13"/>
      <c r="AQ13"/>
    </row>
    <row r="14" spans="2:43">
      <c r="AH14"/>
      <c r="AI14"/>
      <c r="AJ14"/>
      <c r="AK14"/>
      <c r="AL14"/>
      <c r="AM14"/>
      <c r="AN14"/>
      <c r="AO14"/>
      <c r="AP14"/>
      <c r="AQ14"/>
    </row>
    <row r="15" spans="2:43">
      <c r="AH15"/>
      <c r="AI15"/>
      <c r="AJ15"/>
      <c r="AK15"/>
      <c r="AL15"/>
      <c r="AM15"/>
      <c r="AN15"/>
      <c r="AO15"/>
      <c r="AP15"/>
      <c r="AQ15"/>
    </row>
    <row r="16" spans="2:43" ht="19.5">
      <c r="AH16"/>
      <c r="AI16" s="173" t="s">
        <v>225</v>
      </c>
      <c r="AJ16" s="173"/>
      <c r="AK16" s="173"/>
      <c r="AL16" s="173"/>
      <c r="AM16" s="173"/>
      <c r="AN16" s="173"/>
      <c r="AO16" s="173"/>
      <c r="AP16" s="173"/>
      <c r="AQ16" s="173"/>
    </row>
    <row r="17" spans="34:43" ht="19.5">
      <c r="AH17"/>
      <c r="AI17" s="173" t="s">
        <v>39</v>
      </c>
      <c r="AJ17" s="173"/>
      <c r="AK17" s="173"/>
      <c r="AL17" s="173"/>
      <c r="AM17" s="173"/>
      <c r="AN17" s="173"/>
      <c r="AO17" s="173"/>
      <c r="AP17" s="173"/>
      <c r="AQ17" s="173"/>
    </row>
  </sheetData>
  <mergeCells count="13">
    <mergeCell ref="B1:AQ1"/>
    <mergeCell ref="B9:C9"/>
    <mergeCell ref="AH12:AQ12"/>
    <mergeCell ref="AI16:AQ16"/>
    <mergeCell ref="AI17:AQ17"/>
    <mergeCell ref="B10:C10"/>
    <mergeCell ref="B3:C3"/>
    <mergeCell ref="B4:C4"/>
    <mergeCell ref="B5:C5"/>
    <mergeCell ref="B6:C6"/>
    <mergeCell ref="B7:C7"/>
    <mergeCell ref="B8:C8"/>
    <mergeCell ref="B2:AQ2"/>
  </mergeCells>
  <pageMargins left="0.31496062992125984" right="0.19685039370078741" top="0.94488188976377963" bottom="0" header="0.31496062992125984" footer="0.31496062992125984"/>
  <pageSetup scale="47"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H49"/>
  <sheetViews>
    <sheetView showGridLines="0" zoomScale="85" zoomScaleNormal="85" workbookViewId="0">
      <selection activeCell="G48" sqref="G48:H48"/>
    </sheetView>
  </sheetViews>
  <sheetFormatPr defaultRowHeight="14.25"/>
  <cols>
    <col min="1" max="1" width="1.5" style="1" customWidth="1"/>
    <col min="2" max="2" width="10.875" style="1" customWidth="1"/>
    <col min="3" max="3" width="14.625" style="1" customWidth="1"/>
    <col min="4" max="4" width="47.625" style="1" customWidth="1"/>
    <col min="5" max="6" width="23.125" style="1" customWidth="1"/>
    <col min="7" max="7" width="30.625" style="1" customWidth="1"/>
    <col min="8" max="8" width="30.875" style="1" customWidth="1"/>
    <col min="9" max="16384" width="9" style="1"/>
  </cols>
  <sheetData>
    <row r="1" spans="2:8" ht="72" customHeight="1" thickTop="1" thickBot="1">
      <c r="B1" s="234" t="s">
        <v>244</v>
      </c>
      <c r="C1" s="234"/>
      <c r="D1" s="234"/>
      <c r="E1" s="234"/>
      <c r="F1" s="234"/>
      <c r="G1" s="234"/>
      <c r="H1" s="234"/>
    </row>
    <row r="2" spans="2:8" ht="82.5" customHeight="1" thickTop="1" thickBot="1">
      <c r="B2" s="233" t="s">
        <v>18</v>
      </c>
      <c r="C2" s="233"/>
      <c r="D2" s="233"/>
      <c r="E2" s="233"/>
      <c r="F2" s="233"/>
      <c r="G2" s="233"/>
      <c r="H2" s="233"/>
    </row>
    <row r="3" spans="2:8" ht="132" customHeight="1" thickTop="1" thickBot="1">
      <c r="B3" s="100" t="s">
        <v>40</v>
      </c>
      <c r="C3" s="100" t="s">
        <v>41</v>
      </c>
      <c r="D3" s="101" t="s">
        <v>42</v>
      </c>
      <c r="E3" s="102" t="s">
        <v>53</v>
      </c>
      <c r="F3" s="102" t="s">
        <v>52</v>
      </c>
      <c r="G3" s="102" t="s">
        <v>54</v>
      </c>
      <c r="H3" s="114" t="s">
        <v>55</v>
      </c>
    </row>
    <row r="4" spans="2:8" ht="30" customHeight="1" thickTop="1">
      <c r="B4" s="103">
        <v>1</v>
      </c>
      <c r="C4" s="103">
        <f>'Öğrenci Bilgileri'!C4</f>
        <v>58</v>
      </c>
      <c r="D4" s="105" t="str">
        <f>'Öğrenci Bilgileri'!D4</f>
        <v>EKREM YEKREK</v>
      </c>
      <c r="E4" s="108">
        <f ca="1">ROUND(OFFSET('1. Tema Kitap Okuma'!$D$18, 0, ROW(A1)-1) / 42 * 100, 0)</f>
        <v>100</v>
      </c>
      <c r="F4" s="108">
        <f ca="1">ROUND(OFFSET('2. Tema Kitap Okuma'!$D$18, 0, ROW(A1)-1) / 42 * 100, 0)</f>
        <v>100</v>
      </c>
      <c r="G4" s="108">
        <f ca="1">ROUND(OFFSET('Ders İçi Gözlem'!$D$10, 0, ROW(A1)-1) / 18 * 100, 0)</f>
        <v>100</v>
      </c>
      <c r="H4" s="111">
        <f ca="1">(E4/100*33)+(F4/100*33)+(G4/100*34)</f>
        <v>100</v>
      </c>
    </row>
    <row r="5" spans="2:8" ht="30" customHeight="1">
      <c r="B5" s="103">
        <v>2</v>
      </c>
      <c r="C5" s="103">
        <f>'Öğrenci Bilgileri'!C5</f>
        <v>60</v>
      </c>
      <c r="D5" s="105" t="str">
        <f>'Öğrenci Bilgileri'!D5</f>
        <v>SAMİ İL</v>
      </c>
      <c r="E5" s="109">
        <f ca="1">ROUND(OFFSET('1. Tema Kitap Okuma'!$D$18, 0, ROW(A2)-1) / 42 * 100, 0)</f>
        <v>67</v>
      </c>
      <c r="F5" s="109">
        <f ca="1">ROUND(OFFSET('2. Tema Kitap Okuma'!$D$18, 0, ROW(A2)-1) / 42 * 100, 0)</f>
        <v>67</v>
      </c>
      <c r="G5" s="109">
        <f ca="1">ROUND(OFFSET('Ders İçi Gözlem'!$D$10, 0, ROW(A2)-1) / 18 * 100, 0)</f>
        <v>67</v>
      </c>
      <c r="H5" s="112">
        <f t="shared" ref="H5:H43" ca="1" si="0">(E5/100*33)+(F5/100*33)+(G5/100*34)</f>
        <v>67</v>
      </c>
    </row>
    <row r="6" spans="2:8" ht="30" customHeight="1">
      <c r="B6" s="103">
        <v>3</v>
      </c>
      <c r="C6" s="103">
        <f>'Öğrenci Bilgileri'!C6</f>
        <v>65</v>
      </c>
      <c r="D6" s="105" t="str">
        <f>'Öğrenci Bilgileri'!D6</f>
        <v>AHMET ÖZBAHAR</v>
      </c>
      <c r="E6" s="109">
        <f ca="1">ROUND(OFFSET('1. Tema Kitap Okuma'!$D$18, 0, ROW(A3)-1) / 42 * 100, 0)</f>
        <v>33</v>
      </c>
      <c r="F6" s="109">
        <f ca="1">ROUND(OFFSET('2. Tema Kitap Okuma'!$D$18, 0, ROW(A3)-1) / 42 * 100, 0)</f>
        <v>33</v>
      </c>
      <c r="G6" s="109">
        <f ca="1">ROUND(OFFSET('Ders İçi Gözlem'!$D$10, 0, ROW(A3)-1) / 18 * 100, 0)</f>
        <v>33</v>
      </c>
      <c r="H6" s="112">
        <f t="shared" ca="1" si="0"/>
        <v>33</v>
      </c>
    </row>
    <row r="7" spans="2:8" ht="30" customHeight="1">
      <c r="B7" s="103">
        <v>4</v>
      </c>
      <c r="C7" s="103">
        <f>'Öğrenci Bilgileri'!C7</f>
        <v>70</v>
      </c>
      <c r="D7" s="105" t="str">
        <f>'Öğrenci Bilgileri'!D7</f>
        <v>FATMA ŞENGÜL</v>
      </c>
      <c r="E7" s="109">
        <f ca="1">ROUND(OFFSET('1. Tema Kitap Okuma'!$D$18, 0, ROW(A4)-1) / 42 * 100, 0)</f>
        <v>0</v>
      </c>
      <c r="F7" s="109">
        <f ca="1">ROUND(OFFSET('2. Tema Kitap Okuma'!$D$18, 0, ROW(A4)-1) / 42 * 100, 0)</f>
        <v>0</v>
      </c>
      <c r="G7" s="109">
        <f ca="1">ROUND(OFFSET('Ders İçi Gözlem'!$D$10, 0, ROW(A4)-1) / 18 * 100, 0)</f>
        <v>0</v>
      </c>
      <c r="H7" s="112">
        <f t="shared" ca="1" si="0"/>
        <v>0</v>
      </c>
    </row>
    <row r="8" spans="2:8" ht="30" customHeight="1">
      <c r="B8" s="103">
        <v>5</v>
      </c>
      <c r="C8" s="103">
        <f>'Öğrenci Bilgileri'!C8</f>
        <v>80</v>
      </c>
      <c r="D8" s="105" t="str">
        <f>'Öğrenci Bilgileri'!D8</f>
        <v>GÖNÜL KORKUT</v>
      </c>
      <c r="E8" s="109">
        <f ca="1">ROUND(OFFSET('1. Tema Kitap Okuma'!$D$18, 0, ROW(A5)-1) / 42 * 100, 0)</f>
        <v>0</v>
      </c>
      <c r="F8" s="109">
        <f ca="1">ROUND(OFFSET('2. Tema Kitap Okuma'!$D$18, 0, ROW(A5)-1) / 42 * 100, 0)</f>
        <v>0</v>
      </c>
      <c r="G8" s="109">
        <f ca="1">ROUND(OFFSET('Ders İçi Gözlem'!$D$10, 0, ROW(A5)-1) / 18 * 100, 0)</f>
        <v>0</v>
      </c>
      <c r="H8" s="112">
        <f t="shared" ca="1" si="0"/>
        <v>0</v>
      </c>
    </row>
    <row r="9" spans="2:8" ht="30" customHeight="1">
      <c r="B9" s="103">
        <v>6</v>
      </c>
      <c r="C9" s="103">
        <f>'Öğrenci Bilgileri'!C9</f>
        <v>95</v>
      </c>
      <c r="D9" s="105" t="str">
        <f>'Öğrenci Bilgileri'!D9</f>
        <v>MEHMET TANER</v>
      </c>
      <c r="E9" s="109">
        <f ca="1">ROUND(OFFSET('1. Tema Kitap Okuma'!$D$18, 0, ROW(A6)-1) / 42 * 100, 0)</f>
        <v>0</v>
      </c>
      <c r="F9" s="109">
        <f ca="1">ROUND(OFFSET('2. Tema Kitap Okuma'!$D$18, 0, ROW(A6)-1) / 42 * 100, 0)</f>
        <v>0</v>
      </c>
      <c r="G9" s="109">
        <f ca="1">ROUND(OFFSET('Ders İçi Gözlem'!$D$10, 0, ROW(A6)-1) / 18 * 100, 0)</f>
        <v>0</v>
      </c>
      <c r="H9" s="112">
        <f t="shared" ca="1" si="0"/>
        <v>0</v>
      </c>
    </row>
    <row r="10" spans="2:8" ht="30" customHeight="1">
      <c r="B10" s="103">
        <v>7</v>
      </c>
      <c r="C10" s="103">
        <f>'Öğrenci Bilgileri'!C10</f>
        <v>100</v>
      </c>
      <c r="D10" s="105" t="str">
        <f>'Öğrenci Bilgileri'!D10</f>
        <v>HARUN DERİN</v>
      </c>
      <c r="E10" s="109">
        <f ca="1">ROUND(OFFSET('1. Tema Kitap Okuma'!$D$18, 0, ROW(A7)-1) / 42 * 100, 0)</f>
        <v>0</v>
      </c>
      <c r="F10" s="109">
        <f ca="1">ROUND(OFFSET('2. Tema Kitap Okuma'!$D$18, 0, ROW(A7)-1) / 42 * 100, 0)</f>
        <v>0</v>
      </c>
      <c r="G10" s="109">
        <f ca="1">ROUND(OFFSET('Ders İçi Gözlem'!$D$10, 0, ROW(A7)-1) / 18 * 100, 0)</f>
        <v>0</v>
      </c>
      <c r="H10" s="112">
        <f t="shared" ca="1" si="0"/>
        <v>0</v>
      </c>
    </row>
    <row r="11" spans="2:8" ht="30" customHeight="1">
      <c r="B11" s="103">
        <v>8</v>
      </c>
      <c r="C11" s="103">
        <f>'Öğrenci Bilgileri'!C11</f>
        <v>115</v>
      </c>
      <c r="D11" s="105" t="str">
        <f>'Öğrenci Bilgileri'!D11</f>
        <v>MERVE KAMALAK</v>
      </c>
      <c r="E11" s="109">
        <f ca="1">ROUND(OFFSET('1. Tema Kitap Okuma'!$D$18, 0, ROW(A8)-1) / 42 * 100, 0)</f>
        <v>0</v>
      </c>
      <c r="F11" s="109">
        <f ca="1">ROUND(OFFSET('2. Tema Kitap Okuma'!$D$18, 0, ROW(A8)-1) / 42 * 100, 0)</f>
        <v>0</v>
      </c>
      <c r="G11" s="109">
        <f ca="1">ROUND(OFFSET('Ders İçi Gözlem'!$D$10, 0, ROW(A8)-1) / 18 * 100, 0)</f>
        <v>0</v>
      </c>
      <c r="H11" s="112">
        <f t="shared" ca="1" si="0"/>
        <v>0</v>
      </c>
    </row>
    <row r="12" spans="2:8" ht="30" customHeight="1">
      <c r="B12" s="103">
        <v>9</v>
      </c>
      <c r="C12" s="103">
        <f>'Öğrenci Bilgileri'!C12</f>
        <v>200</v>
      </c>
      <c r="D12" s="105" t="str">
        <f>'Öğrenci Bilgileri'!D12</f>
        <v>ÜMRAN AYKIŞ</v>
      </c>
      <c r="E12" s="109">
        <f ca="1">ROUND(OFFSET('1. Tema Kitap Okuma'!$D$18, 0, ROW(A9)-1) / 42 * 100, 0)</f>
        <v>0</v>
      </c>
      <c r="F12" s="109">
        <f ca="1">ROUND(OFFSET('2. Tema Kitap Okuma'!$D$18, 0, ROW(A9)-1) / 42 * 100, 0)</f>
        <v>0</v>
      </c>
      <c r="G12" s="109">
        <f ca="1">ROUND(OFFSET('Ders İçi Gözlem'!$D$10, 0, ROW(A9)-1) / 18 * 100, 0)</f>
        <v>0</v>
      </c>
      <c r="H12" s="112">
        <f t="shared" ca="1" si="0"/>
        <v>0</v>
      </c>
    </row>
    <row r="13" spans="2:8" ht="30" customHeight="1">
      <c r="B13" s="103">
        <v>10</v>
      </c>
      <c r="C13" s="103">
        <f>'Öğrenci Bilgileri'!C13</f>
        <v>215</v>
      </c>
      <c r="D13" s="105" t="str">
        <f>'Öğrenci Bilgileri'!D13</f>
        <v>IŞIL ÖZLER</v>
      </c>
      <c r="E13" s="109">
        <f ca="1">ROUND(OFFSET('1. Tema Kitap Okuma'!$D$18, 0, ROW(A10)-1) / 42 * 100, 0)</f>
        <v>0</v>
      </c>
      <c r="F13" s="109">
        <f ca="1">ROUND(OFFSET('2. Tema Kitap Okuma'!$D$18, 0, ROW(A10)-1) / 42 * 100, 0)</f>
        <v>0</v>
      </c>
      <c r="G13" s="109">
        <f ca="1">ROUND(OFFSET('Ders İçi Gözlem'!$D$10, 0, ROW(A10)-1) / 18 * 100, 0)</f>
        <v>0</v>
      </c>
      <c r="H13" s="112">
        <f t="shared" ca="1" si="0"/>
        <v>0</v>
      </c>
    </row>
    <row r="14" spans="2:8" ht="30" customHeight="1">
      <c r="B14" s="103">
        <v>11</v>
      </c>
      <c r="C14" s="103">
        <f>'Öğrenci Bilgileri'!C14</f>
        <v>0</v>
      </c>
      <c r="D14" s="105">
        <f>'Öğrenci Bilgileri'!D14</f>
        <v>0</v>
      </c>
      <c r="E14" s="109">
        <f ca="1">ROUND(OFFSET('1. Tema Kitap Okuma'!$D$18, 0, ROW(A11)-1) / 42 * 100, 0)</f>
        <v>0</v>
      </c>
      <c r="F14" s="109">
        <f ca="1">ROUND(OFFSET('2. Tema Kitap Okuma'!$D$18, 0, ROW(A11)-1) / 42 * 100, 0)</f>
        <v>0</v>
      </c>
      <c r="G14" s="109">
        <f ca="1">ROUND(OFFSET('Ders İçi Gözlem'!$D$10, 0, ROW(A11)-1) / 18 * 100, 0)</f>
        <v>0</v>
      </c>
      <c r="H14" s="112">
        <f t="shared" ca="1" si="0"/>
        <v>0</v>
      </c>
    </row>
    <row r="15" spans="2:8" ht="30" customHeight="1">
      <c r="B15" s="103">
        <v>12</v>
      </c>
      <c r="C15" s="103">
        <f>'Öğrenci Bilgileri'!C15</f>
        <v>0</v>
      </c>
      <c r="D15" s="105">
        <f>'Öğrenci Bilgileri'!D15</f>
        <v>0</v>
      </c>
      <c r="E15" s="109">
        <f ca="1">ROUND(OFFSET('1. Tema Kitap Okuma'!$D$18, 0, ROW(A12)-1) / 42 * 100, 0)</f>
        <v>0</v>
      </c>
      <c r="F15" s="109">
        <f ca="1">ROUND(OFFSET('2. Tema Kitap Okuma'!$D$18, 0, ROW(A12)-1) / 42 * 100, 0)</f>
        <v>0</v>
      </c>
      <c r="G15" s="109">
        <f ca="1">ROUND(OFFSET('Ders İçi Gözlem'!$D$10, 0, ROW(A12)-1) / 18 * 100, 0)</f>
        <v>0</v>
      </c>
      <c r="H15" s="112">
        <f t="shared" ca="1" si="0"/>
        <v>0</v>
      </c>
    </row>
    <row r="16" spans="2:8" ht="30" customHeight="1">
      <c r="B16" s="103">
        <v>13</v>
      </c>
      <c r="C16" s="103">
        <f>'Öğrenci Bilgileri'!C16</f>
        <v>0</v>
      </c>
      <c r="D16" s="105">
        <f>'Öğrenci Bilgileri'!D16</f>
        <v>0</v>
      </c>
      <c r="E16" s="109">
        <f ca="1">ROUND(OFFSET('1. Tema Kitap Okuma'!$D$18, 0, ROW(A13)-1) / 42 * 100, 0)</f>
        <v>0</v>
      </c>
      <c r="F16" s="109">
        <f ca="1">ROUND(OFFSET('2. Tema Kitap Okuma'!$D$18, 0, ROW(A13)-1) / 42 * 100, 0)</f>
        <v>0</v>
      </c>
      <c r="G16" s="109">
        <f ca="1">ROUND(OFFSET('Ders İçi Gözlem'!$D$10, 0, ROW(A13)-1) / 18 * 100, 0)</f>
        <v>0</v>
      </c>
      <c r="H16" s="112">
        <f t="shared" ca="1" si="0"/>
        <v>0</v>
      </c>
    </row>
    <row r="17" spans="2:8" ht="30" customHeight="1">
      <c r="B17" s="103">
        <v>14</v>
      </c>
      <c r="C17" s="103">
        <f>'Öğrenci Bilgileri'!C17</f>
        <v>0</v>
      </c>
      <c r="D17" s="105">
        <f>'Öğrenci Bilgileri'!D17</f>
        <v>0</v>
      </c>
      <c r="E17" s="109">
        <f ca="1">ROUND(OFFSET('1. Tema Kitap Okuma'!$D$18, 0, ROW(A14)-1) / 42 * 100, 0)</f>
        <v>0</v>
      </c>
      <c r="F17" s="109">
        <f ca="1">ROUND(OFFSET('2. Tema Kitap Okuma'!$D$18, 0, ROW(A14)-1) / 42 * 100, 0)</f>
        <v>0</v>
      </c>
      <c r="G17" s="109">
        <f ca="1">ROUND(OFFSET('Ders İçi Gözlem'!$D$10, 0, ROW(A14)-1) / 18 * 100, 0)</f>
        <v>0</v>
      </c>
      <c r="H17" s="112">
        <f t="shared" ca="1" si="0"/>
        <v>0</v>
      </c>
    </row>
    <row r="18" spans="2:8" ht="30" customHeight="1">
      <c r="B18" s="103">
        <v>15</v>
      </c>
      <c r="C18" s="103">
        <f>'Öğrenci Bilgileri'!C18</f>
        <v>0</v>
      </c>
      <c r="D18" s="105">
        <f>'Öğrenci Bilgileri'!D18</f>
        <v>0</v>
      </c>
      <c r="E18" s="109">
        <f ca="1">ROUND(OFFSET('1. Tema Kitap Okuma'!$D$18, 0, ROW(A15)-1) / 42 * 100, 0)</f>
        <v>0</v>
      </c>
      <c r="F18" s="109">
        <f ca="1">ROUND(OFFSET('2. Tema Kitap Okuma'!$D$18, 0, ROW(A15)-1) / 42 * 100, 0)</f>
        <v>0</v>
      </c>
      <c r="G18" s="109">
        <f ca="1">ROUND(OFFSET('Ders İçi Gözlem'!$D$10, 0, ROW(A15)-1) / 18 * 100, 0)</f>
        <v>0</v>
      </c>
      <c r="H18" s="112">
        <f t="shared" ca="1" si="0"/>
        <v>0</v>
      </c>
    </row>
    <row r="19" spans="2:8" ht="30" customHeight="1">
      <c r="B19" s="103">
        <v>16</v>
      </c>
      <c r="C19" s="103">
        <f>'Öğrenci Bilgileri'!C19</f>
        <v>0</v>
      </c>
      <c r="D19" s="105">
        <f>'Öğrenci Bilgileri'!D19</f>
        <v>0</v>
      </c>
      <c r="E19" s="109">
        <f ca="1">ROUND(OFFSET('1. Tema Kitap Okuma'!$D$18, 0, ROW(A16)-1) / 42 * 100, 0)</f>
        <v>0</v>
      </c>
      <c r="F19" s="109">
        <f ca="1">ROUND(OFFSET('2. Tema Kitap Okuma'!$D$18, 0, ROW(A16)-1) / 42 * 100, 0)</f>
        <v>0</v>
      </c>
      <c r="G19" s="109">
        <f ca="1">ROUND(OFFSET('Ders İçi Gözlem'!$D$10, 0, ROW(A16)-1) / 18 * 100, 0)</f>
        <v>0</v>
      </c>
      <c r="H19" s="112">
        <f t="shared" ca="1" si="0"/>
        <v>0</v>
      </c>
    </row>
    <row r="20" spans="2:8" ht="30" customHeight="1">
      <c r="B20" s="103">
        <v>17</v>
      </c>
      <c r="C20" s="103">
        <f>'Öğrenci Bilgileri'!C20</f>
        <v>0</v>
      </c>
      <c r="D20" s="105">
        <f>'Öğrenci Bilgileri'!D20</f>
        <v>0</v>
      </c>
      <c r="E20" s="109">
        <f ca="1">ROUND(OFFSET('1. Tema Kitap Okuma'!$D$18, 0, ROW(A17)-1) / 42 * 100, 0)</f>
        <v>0</v>
      </c>
      <c r="F20" s="109">
        <f ca="1">ROUND(OFFSET('2. Tema Kitap Okuma'!$D$18, 0, ROW(A17)-1) / 42 * 100, 0)</f>
        <v>0</v>
      </c>
      <c r="G20" s="109">
        <f ca="1">ROUND(OFFSET('Ders İçi Gözlem'!$D$10, 0, ROW(A17)-1) / 18 * 100, 0)</f>
        <v>0</v>
      </c>
      <c r="H20" s="112">
        <f t="shared" ca="1" si="0"/>
        <v>0</v>
      </c>
    </row>
    <row r="21" spans="2:8" ht="30" customHeight="1">
      <c r="B21" s="103">
        <v>18</v>
      </c>
      <c r="C21" s="103">
        <f>'Öğrenci Bilgileri'!C21</f>
        <v>0</v>
      </c>
      <c r="D21" s="105">
        <f>'Öğrenci Bilgileri'!D21</f>
        <v>0</v>
      </c>
      <c r="E21" s="109">
        <f ca="1">ROUND(OFFSET('1. Tema Kitap Okuma'!$D$18, 0, ROW(A18)-1) / 42 * 100, 0)</f>
        <v>0</v>
      </c>
      <c r="F21" s="109">
        <f ca="1">ROUND(OFFSET('2. Tema Kitap Okuma'!$D$18, 0, ROW(A18)-1) / 42 * 100, 0)</f>
        <v>0</v>
      </c>
      <c r="G21" s="109">
        <f ca="1">ROUND(OFFSET('Ders İçi Gözlem'!$D$10, 0, ROW(A18)-1) / 18 * 100, 0)</f>
        <v>0</v>
      </c>
      <c r="H21" s="112">
        <f t="shared" ca="1" si="0"/>
        <v>0</v>
      </c>
    </row>
    <row r="22" spans="2:8" ht="30" customHeight="1">
      <c r="B22" s="103">
        <v>19</v>
      </c>
      <c r="C22" s="103">
        <f>'Öğrenci Bilgileri'!C22</f>
        <v>0</v>
      </c>
      <c r="D22" s="105">
        <f>'Öğrenci Bilgileri'!D22</f>
        <v>0</v>
      </c>
      <c r="E22" s="109">
        <f ca="1">ROUND(OFFSET('1. Tema Kitap Okuma'!$D$18, 0, ROW(A19)-1) / 42 * 100, 0)</f>
        <v>0</v>
      </c>
      <c r="F22" s="109">
        <f ca="1">ROUND(OFFSET('2. Tema Kitap Okuma'!$D$18, 0, ROW(A19)-1) / 42 * 100, 0)</f>
        <v>0</v>
      </c>
      <c r="G22" s="109">
        <f ca="1">ROUND(OFFSET('Ders İçi Gözlem'!$D$10, 0, ROW(A19)-1) / 18 * 100, 0)</f>
        <v>0</v>
      </c>
      <c r="H22" s="112">
        <f t="shared" ca="1" si="0"/>
        <v>0</v>
      </c>
    </row>
    <row r="23" spans="2:8" ht="30" customHeight="1">
      <c r="B23" s="103">
        <v>20</v>
      </c>
      <c r="C23" s="103">
        <f>'Öğrenci Bilgileri'!C23</f>
        <v>0</v>
      </c>
      <c r="D23" s="105">
        <f>'Öğrenci Bilgileri'!D23</f>
        <v>0</v>
      </c>
      <c r="E23" s="109">
        <f ca="1">ROUND(OFFSET('1. Tema Kitap Okuma'!$D$18, 0, ROW(A20)-1) / 42 * 100, 0)</f>
        <v>0</v>
      </c>
      <c r="F23" s="109">
        <f ca="1">ROUND(OFFSET('2. Tema Kitap Okuma'!$D$18, 0, ROW(A20)-1) / 42 * 100, 0)</f>
        <v>0</v>
      </c>
      <c r="G23" s="109">
        <f ca="1">ROUND(OFFSET('Ders İçi Gözlem'!$D$10, 0, ROW(A20)-1) / 18 * 100, 0)</f>
        <v>0</v>
      </c>
      <c r="H23" s="112">
        <f t="shared" ca="1" si="0"/>
        <v>0</v>
      </c>
    </row>
    <row r="24" spans="2:8" ht="30" customHeight="1">
      <c r="B24" s="103">
        <v>21</v>
      </c>
      <c r="C24" s="103">
        <f>'Öğrenci Bilgileri'!C24</f>
        <v>0</v>
      </c>
      <c r="D24" s="105">
        <f>'Öğrenci Bilgileri'!D24</f>
        <v>0</v>
      </c>
      <c r="E24" s="109">
        <f ca="1">ROUND(OFFSET('1. Tema Kitap Okuma'!$D$18, 0, ROW(A21)-1) / 42 * 100, 0)</f>
        <v>0</v>
      </c>
      <c r="F24" s="109">
        <f ca="1">ROUND(OFFSET('2. Tema Kitap Okuma'!$D$18, 0, ROW(A21)-1) / 42 * 100, 0)</f>
        <v>0</v>
      </c>
      <c r="G24" s="109">
        <f ca="1">ROUND(OFFSET('Ders İçi Gözlem'!$D$10, 0, ROW(A21)-1) / 18 * 100, 0)</f>
        <v>0</v>
      </c>
      <c r="H24" s="112">
        <f t="shared" ca="1" si="0"/>
        <v>0</v>
      </c>
    </row>
    <row r="25" spans="2:8" ht="30" customHeight="1">
      <c r="B25" s="103">
        <v>22</v>
      </c>
      <c r="C25" s="103">
        <f>'Öğrenci Bilgileri'!C25</f>
        <v>0</v>
      </c>
      <c r="D25" s="105">
        <f>'Öğrenci Bilgileri'!D25</f>
        <v>0</v>
      </c>
      <c r="E25" s="109">
        <f ca="1">ROUND(OFFSET('1. Tema Kitap Okuma'!$D$18, 0, ROW(A22)-1) / 42 * 100, 0)</f>
        <v>0</v>
      </c>
      <c r="F25" s="109">
        <f ca="1">ROUND(OFFSET('2. Tema Kitap Okuma'!$D$18, 0, ROW(A22)-1) / 42 * 100, 0)</f>
        <v>0</v>
      </c>
      <c r="G25" s="109">
        <f ca="1">ROUND(OFFSET('Ders İçi Gözlem'!$D$10, 0, ROW(A22)-1) / 18 * 100, 0)</f>
        <v>0</v>
      </c>
      <c r="H25" s="112">
        <f t="shared" ca="1" si="0"/>
        <v>0</v>
      </c>
    </row>
    <row r="26" spans="2:8" ht="30" customHeight="1">
      <c r="B26" s="103">
        <v>23</v>
      </c>
      <c r="C26" s="103">
        <f>'Öğrenci Bilgileri'!C26</f>
        <v>0</v>
      </c>
      <c r="D26" s="105">
        <f>'Öğrenci Bilgileri'!D26</f>
        <v>0</v>
      </c>
      <c r="E26" s="109">
        <f ca="1">ROUND(OFFSET('1. Tema Kitap Okuma'!$D$18, 0, ROW(A23)-1) / 42 * 100, 0)</f>
        <v>0</v>
      </c>
      <c r="F26" s="109">
        <f ca="1">ROUND(OFFSET('2. Tema Kitap Okuma'!$D$18, 0, ROW(A23)-1) / 42 * 100, 0)</f>
        <v>0</v>
      </c>
      <c r="G26" s="109">
        <f ca="1">ROUND(OFFSET('Ders İçi Gözlem'!$D$10, 0, ROW(A23)-1) / 18 * 100, 0)</f>
        <v>0</v>
      </c>
      <c r="H26" s="112">
        <f t="shared" ca="1" si="0"/>
        <v>0</v>
      </c>
    </row>
    <row r="27" spans="2:8" ht="30" customHeight="1">
      <c r="B27" s="103">
        <v>24</v>
      </c>
      <c r="C27" s="103">
        <f>'Öğrenci Bilgileri'!C27</f>
        <v>0</v>
      </c>
      <c r="D27" s="105">
        <f>'Öğrenci Bilgileri'!D27</f>
        <v>0</v>
      </c>
      <c r="E27" s="109">
        <f ca="1">ROUND(OFFSET('1. Tema Kitap Okuma'!$D$18, 0, ROW(A24)-1) / 42 * 100, 0)</f>
        <v>0</v>
      </c>
      <c r="F27" s="109">
        <f ca="1">ROUND(OFFSET('2. Tema Kitap Okuma'!$D$18, 0, ROW(A24)-1) / 42 * 100, 0)</f>
        <v>0</v>
      </c>
      <c r="G27" s="109">
        <f ca="1">ROUND(OFFSET('Ders İçi Gözlem'!$D$10, 0, ROW(A24)-1) / 18 * 100, 0)</f>
        <v>0</v>
      </c>
      <c r="H27" s="112">
        <f t="shared" ca="1" si="0"/>
        <v>0</v>
      </c>
    </row>
    <row r="28" spans="2:8" ht="30" customHeight="1">
      <c r="B28" s="103">
        <v>25</v>
      </c>
      <c r="C28" s="103">
        <f>'Öğrenci Bilgileri'!C28</f>
        <v>0</v>
      </c>
      <c r="D28" s="105">
        <f>'Öğrenci Bilgileri'!D28</f>
        <v>0</v>
      </c>
      <c r="E28" s="109">
        <f ca="1">ROUND(OFFSET('1. Tema Kitap Okuma'!$D$18, 0, ROW(A25)-1) / 42 * 100, 0)</f>
        <v>0</v>
      </c>
      <c r="F28" s="109">
        <f ca="1">ROUND(OFFSET('2. Tema Kitap Okuma'!$D$18, 0, ROW(A25)-1) / 42 * 100, 0)</f>
        <v>0</v>
      </c>
      <c r="G28" s="109">
        <f ca="1">ROUND(OFFSET('Ders İçi Gözlem'!$D$10, 0, ROW(A25)-1) / 18 * 100, 0)</f>
        <v>0</v>
      </c>
      <c r="H28" s="112">
        <f t="shared" ca="1" si="0"/>
        <v>0</v>
      </c>
    </row>
    <row r="29" spans="2:8" ht="30" customHeight="1">
      <c r="B29" s="103">
        <v>26</v>
      </c>
      <c r="C29" s="103">
        <f>'Öğrenci Bilgileri'!C29</f>
        <v>0</v>
      </c>
      <c r="D29" s="105">
        <f>'Öğrenci Bilgileri'!D29</f>
        <v>0</v>
      </c>
      <c r="E29" s="109">
        <f ca="1">ROUND(OFFSET('1. Tema Kitap Okuma'!$D$18, 0, ROW(A26)-1) / 42 * 100, 0)</f>
        <v>0</v>
      </c>
      <c r="F29" s="109">
        <f ca="1">ROUND(OFFSET('2. Tema Kitap Okuma'!$D$18, 0, ROW(A26)-1) / 42 * 100, 0)</f>
        <v>0</v>
      </c>
      <c r="G29" s="109">
        <f ca="1">ROUND(OFFSET('Ders İçi Gözlem'!$D$10, 0, ROW(A26)-1) / 18 * 100, 0)</f>
        <v>0</v>
      </c>
      <c r="H29" s="112">
        <f t="shared" ca="1" si="0"/>
        <v>0</v>
      </c>
    </row>
    <row r="30" spans="2:8" ht="30" customHeight="1">
      <c r="B30" s="103">
        <v>27</v>
      </c>
      <c r="C30" s="103">
        <f>'Öğrenci Bilgileri'!C30</f>
        <v>0</v>
      </c>
      <c r="D30" s="105">
        <f>'Öğrenci Bilgileri'!D30</f>
        <v>0</v>
      </c>
      <c r="E30" s="109">
        <f ca="1">ROUND(OFFSET('1. Tema Kitap Okuma'!$D$18, 0, ROW(A27)-1) / 42 * 100, 0)</f>
        <v>0</v>
      </c>
      <c r="F30" s="109">
        <f ca="1">ROUND(OFFSET('2. Tema Kitap Okuma'!$D$18, 0, ROW(A27)-1) / 42 * 100, 0)</f>
        <v>0</v>
      </c>
      <c r="G30" s="109">
        <f ca="1">ROUND(OFFSET('Ders İçi Gözlem'!$D$10, 0, ROW(A27)-1) / 18 * 100, 0)</f>
        <v>0</v>
      </c>
      <c r="H30" s="112">
        <f t="shared" ca="1" si="0"/>
        <v>0</v>
      </c>
    </row>
    <row r="31" spans="2:8" ht="30" customHeight="1">
      <c r="B31" s="103">
        <v>28</v>
      </c>
      <c r="C31" s="103">
        <f>'Öğrenci Bilgileri'!C31</f>
        <v>0</v>
      </c>
      <c r="D31" s="105">
        <f>'Öğrenci Bilgileri'!D31</f>
        <v>0</v>
      </c>
      <c r="E31" s="109">
        <f ca="1">ROUND(OFFSET('1. Tema Kitap Okuma'!$D$18, 0, ROW(A28)-1) / 42 * 100, 0)</f>
        <v>0</v>
      </c>
      <c r="F31" s="109">
        <f ca="1">ROUND(OFFSET('2. Tema Kitap Okuma'!$D$18, 0, ROW(A28)-1) / 42 * 100, 0)</f>
        <v>0</v>
      </c>
      <c r="G31" s="109">
        <f ca="1">ROUND(OFFSET('Ders İçi Gözlem'!$D$10, 0, ROW(A28)-1) / 18 * 100, 0)</f>
        <v>0</v>
      </c>
      <c r="H31" s="112">
        <f t="shared" ca="1" si="0"/>
        <v>0</v>
      </c>
    </row>
    <row r="32" spans="2:8" ht="30" customHeight="1">
      <c r="B32" s="103">
        <v>29</v>
      </c>
      <c r="C32" s="103">
        <f>'Öğrenci Bilgileri'!C32</f>
        <v>0</v>
      </c>
      <c r="D32" s="105">
        <f>'Öğrenci Bilgileri'!D32</f>
        <v>0</v>
      </c>
      <c r="E32" s="109">
        <f ca="1">ROUND(OFFSET('1. Tema Kitap Okuma'!$D$18, 0, ROW(A29)-1) / 42 * 100, 0)</f>
        <v>0</v>
      </c>
      <c r="F32" s="109">
        <f ca="1">ROUND(OFFSET('2. Tema Kitap Okuma'!$D$18, 0, ROW(A29)-1) / 42 * 100, 0)</f>
        <v>0</v>
      </c>
      <c r="G32" s="109">
        <f ca="1">ROUND(OFFSET('Ders İçi Gözlem'!$D$10, 0, ROW(A29)-1) / 18 * 100, 0)</f>
        <v>0</v>
      </c>
      <c r="H32" s="112">
        <f t="shared" ca="1" si="0"/>
        <v>0</v>
      </c>
    </row>
    <row r="33" spans="2:8" ht="30" customHeight="1">
      <c r="B33" s="103">
        <v>30</v>
      </c>
      <c r="C33" s="103">
        <f>'Öğrenci Bilgileri'!C33</f>
        <v>0</v>
      </c>
      <c r="D33" s="105">
        <f>'Öğrenci Bilgileri'!D33</f>
        <v>0</v>
      </c>
      <c r="E33" s="109">
        <f ca="1">ROUND(OFFSET('1. Tema Kitap Okuma'!$D$18, 0, ROW(A30)-1) / 42 * 100, 0)</f>
        <v>0</v>
      </c>
      <c r="F33" s="109">
        <f ca="1">ROUND(OFFSET('2. Tema Kitap Okuma'!$D$18, 0, ROW(A30)-1) / 42 * 100, 0)</f>
        <v>0</v>
      </c>
      <c r="G33" s="109">
        <f ca="1">ROUND(OFFSET('Ders İçi Gözlem'!$D$10, 0, ROW(A30)-1) / 18 * 100, 0)</f>
        <v>0</v>
      </c>
      <c r="H33" s="112">
        <f t="shared" ca="1" si="0"/>
        <v>0</v>
      </c>
    </row>
    <row r="34" spans="2:8" ht="30" customHeight="1">
      <c r="B34" s="103">
        <v>31</v>
      </c>
      <c r="C34" s="103">
        <f>'Öğrenci Bilgileri'!C34</f>
        <v>0</v>
      </c>
      <c r="D34" s="105">
        <f>'Öğrenci Bilgileri'!D34</f>
        <v>0</v>
      </c>
      <c r="E34" s="109">
        <f ca="1">ROUND(OFFSET('1. Tema Kitap Okuma'!$D$18, 0, ROW(A31)-1) / 42 * 100, 0)</f>
        <v>0</v>
      </c>
      <c r="F34" s="109">
        <f ca="1">ROUND(OFFSET('2. Tema Kitap Okuma'!$D$18, 0, ROW(A31)-1) / 42 * 100, 0)</f>
        <v>0</v>
      </c>
      <c r="G34" s="109">
        <f ca="1">ROUND(OFFSET('Ders İçi Gözlem'!$D$10, 0, ROW(A31)-1) / 18 * 100, 0)</f>
        <v>0</v>
      </c>
      <c r="H34" s="112">
        <f t="shared" ca="1" si="0"/>
        <v>0</v>
      </c>
    </row>
    <row r="35" spans="2:8" ht="30" customHeight="1">
      <c r="B35" s="103">
        <v>32</v>
      </c>
      <c r="C35" s="103">
        <f>'Öğrenci Bilgileri'!C35</f>
        <v>0</v>
      </c>
      <c r="D35" s="105">
        <f>'Öğrenci Bilgileri'!D35</f>
        <v>0</v>
      </c>
      <c r="E35" s="109">
        <f ca="1">ROUND(OFFSET('1. Tema Kitap Okuma'!$D$18, 0, ROW(A32)-1) / 42 * 100, 0)</f>
        <v>0</v>
      </c>
      <c r="F35" s="109">
        <f ca="1">ROUND(OFFSET('2. Tema Kitap Okuma'!$D$18, 0, ROW(A32)-1) / 42 * 100, 0)</f>
        <v>0</v>
      </c>
      <c r="G35" s="109">
        <f ca="1">ROUND(OFFSET('Ders İçi Gözlem'!$D$10, 0, ROW(A32)-1) / 18 * 100, 0)</f>
        <v>0</v>
      </c>
      <c r="H35" s="112">
        <f t="shared" ca="1" si="0"/>
        <v>0</v>
      </c>
    </row>
    <row r="36" spans="2:8" ht="30" customHeight="1">
      <c r="B36" s="103">
        <v>33</v>
      </c>
      <c r="C36" s="103">
        <f>'Öğrenci Bilgileri'!C36</f>
        <v>0</v>
      </c>
      <c r="D36" s="105">
        <f>'Öğrenci Bilgileri'!D36</f>
        <v>0</v>
      </c>
      <c r="E36" s="109">
        <f ca="1">ROUND(OFFSET('1. Tema Kitap Okuma'!$D$18, 0, ROW(A33)-1) / 42 * 100, 0)</f>
        <v>0</v>
      </c>
      <c r="F36" s="109">
        <f ca="1">ROUND(OFFSET('2. Tema Kitap Okuma'!$D$18, 0, ROW(A33)-1) / 42 * 100, 0)</f>
        <v>0</v>
      </c>
      <c r="G36" s="109">
        <f ca="1">ROUND(OFFSET('Ders İçi Gözlem'!$D$10, 0, ROW(A33)-1) / 18 * 100, 0)</f>
        <v>0</v>
      </c>
      <c r="H36" s="112">
        <f t="shared" ca="1" si="0"/>
        <v>0</v>
      </c>
    </row>
    <row r="37" spans="2:8" ht="30" customHeight="1">
      <c r="B37" s="103">
        <v>34</v>
      </c>
      <c r="C37" s="103">
        <f>'Öğrenci Bilgileri'!C37</f>
        <v>0</v>
      </c>
      <c r="D37" s="105">
        <f>'Öğrenci Bilgileri'!D37</f>
        <v>0</v>
      </c>
      <c r="E37" s="109">
        <f ca="1">ROUND(OFFSET('1. Tema Kitap Okuma'!$D$18, 0, ROW(A34)-1) / 42 * 100, 0)</f>
        <v>0</v>
      </c>
      <c r="F37" s="109">
        <f ca="1">ROUND(OFFSET('2. Tema Kitap Okuma'!$D$18, 0, ROW(A34)-1) / 42 * 100, 0)</f>
        <v>0</v>
      </c>
      <c r="G37" s="109">
        <f ca="1">ROUND(OFFSET('Ders İçi Gözlem'!$D$10, 0, ROW(A34)-1) / 18 * 100, 0)</f>
        <v>0</v>
      </c>
      <c r="H37" s="112">
        <f t="shared" ca="1" si="0"/>
        <v>0</v>
      </c>
    </row>
    <row r="38" spans="2:8" ht="30" customHeight="1">
      <c r="B38" s="103">
        <v>35</v>
      </c>
      <c r="C38" s="103">
        <f>'Öğrenci Bilgileri'!C38</f>
        <v>0</v>
      </c>
      <c r="D38" s="105">
        <f>'Öğrenci Bilgileri'!D38</f>
        <v>0</v>
      </c>
      <c r="E38" s="109">
        <f ca="1">ROUND(OFFSET('1. Tema Kitap Okuma'!$D$18, 0, ROW(A35)-1) / 42 * 100, 0)</f>
        <v>0</v>
      </c>
      <c r="F38" s="109">
        <f ca="1">ROUND(OFFSET('2. Tema Kitap Okuma'!$D$18, 0, ROW(A35)-1) / 42 * 100, 0)</f>
        <v>0</v>
      </c>
      <c r="G38" s="109">
        <f ca="1">ROUND(OFFSET('Ders İçi Gözlem'!$D$10, 0, ROW(A35)-1) / 18 * 100, 0)</f>
        <v>0</v>
      </c>
      <c r="H38" s="112">
        <f t="shared" ca="1" si="0"/>
        <v>0</v>
      </c>
    </row>
    <row r="39" spans="2:8" ht="30" customHeight="1">
      <c r="B39" s="103">
        <v>36</v>
      </c>
      <c r="C39" s="103">
        <f>'Öğrenci Bilgileri'!C39</f>
        <v>0</v>
      </c>
      <c r="D39" s="105">
        <f>'Öğrenci Bilgileri'!D39</f>
        <v>0</v>
      </c>
      <c r="E39" s="109">
        <f ca="1">ROUND(OFFSET('1. Tema Kitap Okuma'!$D$18, 0, ROW(A36)-1) / 42 * 100, 0)</f>
        <v>0</v>
      </c>
      <c r="F39" s="109">
        <f ca="1">ROUND(OFFSET('2. Tema Kitap Okuma'!$D$18, 0, ROW(A36)-1) / 42 * 100, 0)</f>
        <v>0</v>
      </c>
      <c r="G39" s="109">
        <f ca="1">ROUND(OFFSET('Ders İçi Gözlem'!$D$10, 0, ROW(A36)-1) / 18 * 100, 0)</f>
        <v>0</v>
      </c>
      <c r="H39" s="112">
        <f t="shared" ca="1" si="0"/>
        <v>0</v>
      </c>
    </row>
    <row r="40" spans="2:8" ht="30" customHeight="1">
      <c r="B40" s="103">
        <v>37</v>
      </c>
      <c r="C40" s="103">
        <f>'Öğrenci Bilgileri'!C40</f>
        <v>0</v>
      </c>
      <c r="D40" s="105">
        <f>'Öğrenci Bilgileri'!D40</f>
        <v>0</v>
      </c>
      <c r="E40" s="109">
        <f ca="1">ROUND(OFFSET('1. Tema Kitap Okuma'!$D$18, 0, ROW(A37)-1) / 42 * 100, 0)</f>
        <v>0</v>
      </c>
      <c r="F40" s="109">
        <f ca="1">ROUND(OFFSET('2. Tema Kitap Okuma'!$D$18, 0, ROW(A37)-1) / 42 * 100, 0)</f>
        <v>0</v>
      </c>
      <c r="G40" s="109">
        <f ca="1">ROUND(OFFSET('Ders İçi Gözlem'!$D$10, 0, ROW(A37)-1) / 18 * 100, 0)</f>
        <v>0</v>
      </c>
      <c r="H40" s="112">
        <f t="shared" ca="1" si="0"/>
        <v>0</v>
      </c>
    </row>
    <row r="41" spans="2:8" ht="30" customHeight="1">
      <c r="B41" s="103">
        <v>38</v>
      </c>
      <c r="C41" s="103">
        <f>'Öğrenci Bilgileri'!C41</f>
        <v>0</v>
      </c>
      <c r="D41" s="105">
        <f>'Öğrenci Bilgileri'!D41</f>
        <v>0</v>
      </c>
      <c r="E41" s="109">
        <f ca="1">ROUND(OFFSET('1. Tema Kitap Okuma'!$D$18, 0, ROW(A38)-1) / 42 * 100, 0)</f>
        <v>0</v>
      </c>
      <c r="F41" s="109">
        <f ca="1">ROUND(OFFSET('2. Tema Kitap Okuma'!$D$18, 0, ROW(A38)-1) / 42 * 100, 0)</f>
        <v>0</v>
      </c>
      <c r="G41" s="109">
        <f ca="1">ROUND(OFFSET('Ders İçi Gözlem'!$D$10, 0, ROW(A38)-1) / 18 * 100, 0)</f>
        <v>0</v>
      </c>
      <c r="H41" s="112">
        <f t="shared" ca="1" si="0"/>
        <v>0</v>
      </c>
    </row>
    <row r="42" spans="2:8" ht="30" customHeight="1">
      <c r="B42" s="103">
        <v>39</v>
      </c>
      <c r="C42" s="103">
        <f>'Öğrenci Bilgileri'!C42</f>
        <v>0</v>
      </c>
      <c r="D42" s="105">
        <f>'Öğrenci Bilgileri'!D42</f>
        <v>0</v>
      </c>
      <c r="E42" s="109">
        <f ca="1">ROUND(OFFSET('1. Tema Kitap Okuma'!$D$18, 0, ROW(A39)-1) / 42 * 100, 0)</f>
        <v>0</v>
      </c>
      <c r="F42" s="109">
        <f ca="1">ROUND(OFFSET('2. Tema Kitap Okuma'!$D$18, 0, ROW(A39)-1) / 42 * 100, 0)</f>
        <v>0</v>
      </c>
      <c r="G42" s="109">
        <f ca="1">ROUND(OFFSET('Ders İçi Gözlem'!$D$10, 0, ROW(A39)-1) / 18 * 100, 0)</f>
        <v>0</v>
      </c>
      <c r="H42" s="112">
        <f t="shared" ca="1" si="0"/>
        <v>0</v>
      </c>
    </row>
    <row r="43" spans="2:8" ht="30" customHeight="1" thickBot="1">
      <c r="B43" s="104">
        <v>40</v>
      </c>
      <c r="C43" s="104">
        <f>'Öğrenci Bilgileri'!C43</f>
        <v>0</v>
      </c>
      <c r="D43" s="106">
        <f>'Öğrenci Bilgileri'!D43</f>
        <v>0</v>
      </c>
      <c r="E43" s="110">
        <f ca="1">ROUND(OFFSET('1. Tema Kitap Okuma'!$D$18, 0, ROW(A40)-1) / 42 * 100, 0)</f>
        <v>0</v>
      </c>
      <c r="F43" s="110">
        <f ca="1">ROUND(OFFSET('2. Tema Kitap Okuma'!$D$18, 0, ROW(A40)-1) / 42 * 100, 0)</f>
        <v>0</v>
      </c>
      <c r="G43" s="110">
        <f ca="1">ROUND(OFFSET('Ders İçi Gözlem'!$D$10, 0, ROW(A40)-1) / 18 * 100, 0)</f>
        <v>0</v>
      </c>
      <c r="H43" s="113">
        <f t="shared" ca="1" si="0"/>
        <v>0</v>
      </c>
    </row>
    <row r="44" spans="2:8" ht="15" thickTop="1"/>
    <row r="45" spans="2:8" ht="22.5">
      <c r="G45" s="196">
        <v>46402</v>
      </c>
      <c r="H45" s="197"/>
    </row>
    <row r="46" spans="2:8" ht="16.5">
      <c r="G46" s="107"/>
      <c r="H46" s="107"/>
    </row>
    <row r="47" spans="2:8" ht="16.5">
      <c r="G47" s="107"/>
      <c r="H47" s="107"/>
    </row>
    <row r="48" spans="2:8" ht="22.5">
      <c r="G48" s="197" t="s">
        <v>225</v>
      </c>
      <c r="H48" s="197"/>
    </row>
    <row r="49" spans="7:8" ht="19.5">
      <c r="G49" s="232" t="s">
        <v>39</v>
      </c>
      <c r="H49" s="232"/>
    </row>
  </sheetData>
  <mergeCells count="5">
    <mergeCell ref="G49:H49"/>
    <mergeCell ref="B2:H2"/>
    <mergeCell ref="B1:H1"/>
    <mergeCell ref="G45:H45"/>
    <mergeCell ref="G48:H48"/>
  </mergeCells>
  <pageMargins left="0.31496062992125984" right="0.23622047244094491" top="0.55118110236220474" bottom="0" header="0.31496062992125984" footer="0.31496062992125984"/>
  <pageSetup paperSize="9" scale="4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F49"/>
  <sheetViews>
    <sheetView showGridLines="0" topLeftCell="A37" zoomScale="85" zoomScaleNormal="85" workbookViewId="0">
      <selection activeCell="E53" sqref="E53"/>
    </sheetView>
  </sheetViews>
  <sheetFormatPr defaultRowHeight="14.25"/>
  <cols>
    <col min="1" max="1" width="0.75" style="1" customWidth="1"/>
    <col min="2" max="2" width="10.875" style="1" customWidth="1"/>
    <col min="3" max="3" width="14.625" style="1" customWidth="1"/>
    <col min="4" max="4" width="47.625" style="1" customWidth="1"/>
    <col min="5" max="6" width="30.625" style="1" customWidth="1"/>
    <col min="7" max="16384" width="9" style="1"/>
  </cols>
  <sheetData>
    <row r="1" spans="2:6" ht="107.25" customHeight="1" thickTop="1" thickBot="1">
      <c r="B1" s="234" t="s">
        <v>245</v>
      </c>
      <c r="C1" s="234"/>
      <c r="D1" s="234"/>
      <c r="E1" s="234"/>
      <c r="F1" s="234"/>
    </row>
    <row r="2" spans="2:6" ht="68.25" customHeight="1" thickTop="1" thickBot="1">
      <c r="B2" s="235" t="s">
        <v>49</v>
      </c>
      <c r="C2" s="235"/>
      <c r="D2" s="235"/>
      <c r="E2" s="235"/>
      <c r="F2" s="235"/>
    </row>
    <row r="3" spans="2:6" ht="81.75" customHeight="1" thickTop="1" thickBot="1">
      <c r="B3" s="8" t="s">
        <v>40</v>
      </c>
      <c r="C3" s="8" t="s">
        <v>41</v>
      </c>
      <c r="D3" s="9" t="s">
        <v>42</v>
      </c>
      <c r="E3" s="8" t="s">
        <v>44</v>
      </c>
      <c r="F3" s="8" t="s">
        <v>43</v>
      </c>
    </row>
    <row r="4" spans="2:6" ht="24.95" customHeight="1" thickTop="1">
      <c r="B4" s="6">
        <v>1</v>
      </c>
      <c r="C4" s="6">
        <f>'Öğrenci Bilgileri'!C4</f>
        <v>58</v>
      </c>
      <c r="D4" s="97" t="str">
        <f>'Öğrenci Bilgileri'!D4</f>
        <v>EKREM YEKREK</v>
      </c>
      <c r="E4" s="7">
        <f ca="1">'1. DÖNEM 1. PERFORMANS PUANI'!I4</f>
        <v>100</v>
      </c>
      <c r="F4" s="7">
        <f ca="1">'1. DÖNEM 2. PERFORMANS PUANI'!H4</f>
        <v>100</v>
      </c>
    </row>
    <row r="5" spans="2:6" ht="24.95" customHeight="1">
      <c r="B5" s="2">
        <v>2</v>
      </c>
      <c r="C5" s="2">
        <f>'Öğrenci Bilgileri'!C5</f>
        <v>60</v>
      </c>
      <c r="D5" s="98" t="str">
        <f>'Öğrenci Bilgileri'!D5</f>
        <v>SAMİ İL</v>
      </c>
      <c r="E5" s="3">
        <f ca="1">'1. DÖNEM 1. PERFORMANS PUANI'!I5</f>
        <v>80</v>
      </c>
      <c r="F5" s="3">
        <f ca="1">'1. DÖNEM 2. PERFORMANS PUANI'!H5</f>
        <v>67</v>
      </c>
    </row>
    <row r="6" spans="2:6" ht="24.95" customHeight="1">
      <c r="B6" s="2">
        <v>3</v>
      </c>
      <c r="C6" s="2">
        <f>'Öğrenci Bilgileri'!C6</f>
        <v>65</v>
      </c>
      <c r="D6" s="98" t="str">
        <f>'Öğrenci Bilgileri'!D6</f>
        <v>AHMET ÖZBAHAR</v>
      </c>
      <c r="E6" s="3">
        <f ca="1">'1. DÖNEM 1. PERFORMANS PUANI'!I6</f>
        <v>45</v>
      </c>
      <c r="F6" s="3">
        <f ca="1">'1. DÖNEM 2. PERFORMANS PUANI'!H6</f>
        <v>33</v>
      </c>
    </row>
    <row r="7" spans="2:6" ht="24.95" customHeight="1">
      <c r="B7" s="2">
        <v>4</v>
      </c>
      <c r="C7" s="2">
        <f>'Öğrenci Bilgileri'!C7</f>
        <v>70</v>
      </c>
      <c r="D7" s="98" t="str">
        <f>'Öğrenci Bilgileri'!D7</f>
        <v>FATMA ŞENGÜL</v>
      </c>
      <c r="E7" s="3">
        <f ca="1">'1. DÖNEM 1. PERFORMANS PUANI'!I7</f>
        <v>55</v>
      </c>
      <c r="F7" s="3">
        <f ca="1">'1. DÖNEM 2. PERFORMANS PUANI'!H7</f>
        <v>0</v>
      </c>
    </row>
    <row r="8" spans="2:6" ht="24.95" customHeight="1">
      <c r="B8" s="2">
        <v>5</v>
      </c>
      <c r="C8" s="2">
        <f>'Öğrenci Bilgileri'!C8</f>
        <v>80</v>
      </c>
      <c r="D8" s="98" t="str">
        <f>'Öğrenci Bilgileri'!D8</f>
        <v>GÖNÜL KORKUT</v>
      </c>
      <c r="E8" s="3">
        <f ca="1">'1. DÖNEM 1. PERFORMANS PUANI'!I8</f>
        <v>0</v>
      </c>
      <c r="F8" s="3">
        <f ca="1">'1. DÖNEM 2. PERFORMANS PUANI'!H8</f>
        <v>0</v>
      </c>
    </row>
    <row r="9" spans="2:6" ht="24.95" customHeight="1">
      <c r="B9" s="2">
        <v>6</v>
      </c>
      <c r="C9" s="2">
        <f>'Öğrenci Bilgileri'!C9</f>
        <v>95</v>
      </c>
      <c r="D9" s="98" t="str">
        <f>'Öğrenci Bilgileri'!D9</f>
        <v>MEHMET TANER</v>
      </c>
      <c r="E9" s="3">
        <f ca="1">'1. DÖNEM 1. PERFORMANS PUANI'!I9</f>
        <v>0</v>
      </c>
      <c r="F9" s="3">
        <f ca="1">'1. DÖNEM 2. PERFORMANS PUANI'!H9</f>
        <v>0</v>
      </c>
    </row>
    <row r="10" spans="2:6" ht="24.95" customHeight="1">
      <c r="B10" s="2">
        <v>7</v>
      </c>
      <c r="C10" s="2">
        <f>'Öğrenci Bilgileri'!C10</f>
        <v>100</v>
      </c>
      <c r="D10" s="98" t="str">
        <f>'Öğrenci Bilgileri'!D10</f>
        <v>HARUN DERİN</v>
      </c>
      <c r="E10" s="3">
        <f ca="1">'1. DÖNEM 1. PERFORMANS PUANI'!I10</f>
        <v>0</v>
      </c>
      <c r="F10" s="3">
        <f ca="1">'1. DÖNEM 2. PERFORMANS PUANI'!H10</f>
        <v>0</v>
      </c>
    </row>
    <row r="11" spans="2:6" ht="24.95" customHeight="1">
      <c r="B11" s="2">
        <v>8</v>
      </c>
      <c r="C11" s="2">
        <f>'Öğrenci Bilgileri'!C11</f>
        <v>115</v>
      </c>
      <c r="D11" s="98" t="str">
        <f>'Öğrenci Bilgileri'!D11</f>
        <v>MERVE KAMALAK</v>
      </c>
      <c r="E11" s="3">
        <f ca="1">'1. DÖNEM 1. PERFORMANS PUANI'!I11</f>
        <v>0</v>
      </c>
      <c r="F11" s="3">
        <f ca="1">'1. DÖNEM 2. PERFORMANS PUANI'!H11</f>
        <v>0</v>
      </c>
    </row>
    <row r="12" spans="2:6" ht="24.95" customHeight="1">
      <c r="B12" s="2">
        <v>9</v>
      </c>
      <c r="C12" s="2">
        <f>'Öğrenci Bilgileri'!C12</f>
        <v>200</v>
      </c>
      <c r="D12" s="98" t="str">
        <f>'Öğrenci Bilgileri'!D12</f>
        <v>ÜMRAN AYKIŞ</v>
      </c>
      <c r="E12" s="3">
        <f ca="1">'1. DÖNEM 1. PERFORMANS PUANI'!I12</f>
        <v>0</v>
      </c>
      <c r="F12" s="3">
        <f ca="1">'1. DÖNEM 2. PERFORMANS PUANI'!H12</f>
        <v>0</v>
      </c>
    </row>
    <row r="13" spans="2:6" ht="24.95" customHeight="1">
      <c r="B13" s="2">
        <v>10</v>
      </c>
      <c r="C13" s="2">
        <f>'Öğrenci Bilgileri'!C13</f>
        <v>215</v>
      </c>
      <c r="D13" s="98" t="str">
        <f>'Öğrenci Bilgileri'!D13</f>
        <v>IŞIL ÖZLER</v>
      </c>
      <c r="E13" s="3">
        <f ca="1">'1. DÖNEM 1. PERFORMANS PUANI'!I13</f>
        <v>0</v>
      </c>
      <c r="F13" s="3">
        <f ca="1">'1. DÖNEM 2. PERFORMANS PUANI'!H13</f>
        <v>0</v>
      </c>
    </row>
    <row r="14" spans="2:6" ht="24.95" customHeight="1">
      <c r="B14" s="2">
        <v>11</v>
      </c>
      <c r="C14" s="2">
        <f>'Öğrenci Bilgileri'!C14</f>
        <v>0</v>
      </c>
      <c r="D14" s="98">
        <f>'Öğrenci Bilgileri'!D14</f>
        <v>0</v>
      </c>
      <c r="E14" s="3">
        <f ca="1">'1. DÖNEM 1. PERFORMANS PUANI'!I14</f>
        <v>0</v>
      </c>
      <c r="F14" s="3">
        <f ca="1">'1. DÖNEM 2. PERFORMANS PUANI'!H14</f>
        <v>0</v>
      </c>
    </row>
    <row r="15" spans="2:6" ht="24.95" customHeight="1">
      <c r="B15" s="2">
        <v>12</v>
      </c>
      <c r="C15" s="2">
        <f>'Öğrenci Bilgileri'!C15</f>
        <v>0</v>
      </c>
      <c r="D15" s="98">
        <f>'Öğrenci Bilgileri'!D15</f>
        <v>0</v>
      </c>
      <c r="E15" s="3">
        <f ca="1">'1. DÖNEM 1. PERFORMANS PUANI'!I15</f>
        <v>0</v>
      </c>
      <c r="F15" s="3">
        <f ca="1">'1. DÖNEM 2. PERFORMANS PUANI'!H15</f>
        <v>0</v>
      </c>
    </row>
    <row r="16" spans="2:6" ht="24.95" customHeight="1">
      <c r="B16" s="2">
        <v>13</v>
      </c>
      <c r="C16" s="2">
        <f>'Öğrenci Bilgileri'!C16</f>
        <v>0</v>
      </c>
      <c r="D16" s="98">
        <f>'Öğrenci Bilgileri'!D16</f>
        <v>0</v>
      </c>
      <c r="E16" s="3">
        <f ca="1">'1. DÖNEM 1. PERFORMANS PUANI'!I16</f>
        <v>0</v>
      </c>
      <c r="F16" s="3">
        <f ca="1">'1. DÖNEM 2. PERFORMANS PUANI'!H16</f>
        <v>0</v>
      </c>
    </row>
    <row r="17" spans="2:6" ht="24.95" customHeight="1">
      <c r="B17" s="2">
        <v>14</v>
      </c>
      <c r="C17" s="2">
        <f>'Öğrenci Bilgileri'!C17</f>
        <v>0</v>
      </c>
      <c r="D17" s="98">
        <f>'Öğrenci Bilgileri'!D17</f>
        <v>0</v>
      </c>
      <c r="E17" s="3">
        <f ca="1">'1. DÖNEM 1. PERFORMANS PUANI'!I17</f>
        <v>0</v>
      </c>
      <c r="F17" s="3">
        <f ca="1">'1. DÖNEM 2. PERFORMANS PUANI'!H17</f>
        <v>0</v>
      </c>
    </row>
    <row r="18" spans="2:6" ht="24.95" customHeight="1">
      <c r="B18" s="2">
        <v>15</v>
      </c>
      <c r="C18" s="2">
        <f>'Öğrenci Bilgileri'!C18</f>
        <v>0</v>
      </c>
      <c r="D18" s="98">
        <f>'Öğrenci Bilgileri'!D18</f>
        <v>0</v>
      </c>
      <c r="E18" s="3">
        <f ca="1">'1. DÖNEM 1. PERFORMANS PUANI'!I18</f>
        <v>0</v>
      </c>
      <c r="F18" s="3">
        <f ca="1">'1. DÖNEM 2. PERFORMANS PUANI'!H18</f>
        <v>0</v>
      </c>
    </row>
    <row r="19" spans="2:6" ht="24.95" customHeight="1">
      <c r="B19" s="2">
        <v>16</v>
      </c>
      <c r="C19" s="2">
        <f>'Öğrenci Bilgileri'!C19</f>
        <v>0</v>
      </c>
      <c r="D19" s="98">
        <f>'Öğrenci Bilgileri'!D19</f>
        <v>0</v>
      </c>
      <c r="E19" s="3">
        <f ca="1">'1. DÖNEM 1. PERFORMANS PUANI'!I19</f>
        <v>0</v>
      </c>
      <c r="F19" s="3">
        <f ca="1">'1. DÖNEM 2. PERFORMANS PUANI'!H19</f>
        <v>0</v>
      </c>
    </row>
    <row r="20" spans="2:6" ht="24.95" customHeight="1">
      <c r="B20" s="2">
        <v>17</v>
      </c>
      <c r="C20" s="2">
        <f>'Öğrenci Bilgileri'!C20</f>
        <v>0</v>
      </c>
      <c r="D20" s="98">
        <f>'Öğrenci Bilgileri'!D20</f>
        <v>0</v>
      </c>
      <c r="E20" s="3">
        <f ca="1">'1. DÖNEM 1. PERFORMANS PUANI'!I20</f>
        <v>0</v>
      </c>
      <c r="F20" s="3">
        <f ca="1">'1. DÖNEM 2. PERFORMANS PUANI'!H20</f>
        <v>0</v>
      </c>
    </row>
    <row r="21" spans="2:6" ht="24.95" customHeight="1">
      <c r="B21" s="2">
        <v>18</v>
      </c>
      <c r="C21" s="2">
        <f>'Öğrenci Bilgileri'!C21</f>
        <v>0</v>
      </c>
      <c r="D21" s="98">
        <f>'Öğrenci Bilgileri'!D21</f>
        <v>0</v>
      </c>
      <c r="E21" s="3">
        <f ca="1">'1. DÖNEM 1. PERFORMANS PUANI'!I21</f>
        <v>0</v>
      </c>
      <c r="F21" s="3">
        <f ca="1">'1. DÖNEM 2. PERFORMANS PUANI'!H21</f>
        <v>0</v>
      </c>
    </row>
    <row r="22" spans="2:6" ht="24.95" customHeight="1">
      <c r="B22" s="2">
        <v>19</v>
      </c>
      <c r="C22" s="2">
        <f>'Öğrenci Bilgileri'!C22</f>
        <v>0</v>
      </c>
      <c r="D22" s="98">
        <f>'Öğrenci Bilgileri'!D22</f>
        <v>0</v>
      </c>
      <c r="E22" s="3">
        <f ca="1">'1. DÖNEM 1. PERFORMANS PUANI'!I22</f>
        <v>0</v>
      </c>
      <c r="F22" s="3">
        <f ca="1">'1. DÖNEM 2. PERFORMANS PUANI'!H22</f>
        <v>0</v>
      </c>
    </row>
    <row r="23" spans="2:6" ht="24.95" customHeight="1">
      <c r="B23" s="2">
        <v>20</v>
      </c>
      <c r="C23" s="2">
        <f>'Öğrenci Bilgileri'!C23</f>
        <v>0</v>
      </c>
      <c r="D23" s="98">
        <f>'Öğrenci Bilgileri'!D23</f>
        <v>0</v>
      </c>
      <c r="E23" s="3">
        <f ca="1">'1. DÖNEM 1. PERFORMANS PUANI'!I23</f>
        <v>0</v>
      </c>
      <c r="F23" s="3">
        <f ca="1">'1. DÖNEM 2. PERFORMANS PUANI'!H23</f>
        <v>0</v>
      </c>
    </row>
    <row r="24" spans="2:6" ht="24.95" customHeight="1">
      <c r="B24" s="2">
        <v>21</v>
      </c>
      <c r="C24" s="2">
        <f>'Öğrenci Bilgileri'!C24</f>
        <v>0</v>
      </c>
      <c r="D24" s="98">
        <f>'Öğrenci Bilgileri'!D24</f>
        <v>0</v>
      </c>
      <c r="E24" s="3">
        <f ca="1">'1. DÖNEM 1. PERFORMANS PUANI'!I24</f>
        <v>0</v>
      </c>
      <c r="F24" s="3">
        <f ca="1">'1. DÖNEM 2. PERFORMANS PUANI'!H24</f>
        <v>0</v>
      </c>
    </row>
    <row r="25" spans="2:6" ht="24.95" customHeight="1">
      <c r="B25" s="2">
        <v>22</v>
      </c>
      <c r="C25" s="2">
        <f>'Öğrenci Bilgileri'!C25</f>
        <v>0</v>
      </c>
      <c r="D25" s="98">
        <f>'Öğrenci Bilgileri'!D25</f>
        <v>0</v>
      </c>
      <c r="E25" s="3">
        <f ca="1">'1. DÖNEM 1. PERFORMANS PUANI'!I25</f>
        <v>0</v>
      </c>
      <c r="F25" s="3">
        <f ca="1">'1. DÖNEM 2. PERFORMANS PUANI'!H25</f>
        <v>0</v>
      </c>
    </row>
    <row r="26" spans="2:6" ht="24.95" customHeight="1">
      <c r="B26" s="2">
        <v>23</v>
      </c>
      <c r="C26" s="2">
        <f>'Öğrenci Bilgileri'!C26</f>
        <v>0</v>
      </c>
      <c r="D26" s="98">
        <f>'Öğrenci Bilgileri'!D26</f>
        <v>0</v>
      </c>
      <c r="E26" s="3">
        <f ca="1">'1. DÖNEM 1. PERFORMANS PUANI'!I26</f>
        <v>0</v>
      </c>
      <c r="F26" s="3">
        <f ca="1">'1. DÖNEM 2. PERFORMANS PUANI'!H26</f>
        <v>0</v>
      </c>
    </row>
    <row r="27" spans="2:6" ht="24.95" customHeight="1">
      <c r="B27" s="2">
        <v>24</v>
      </c>
      <c r="C27" s="2">
        <f>'Öğrenci Bilgileri'!C27</f>
        <v>0</v>
      </c>
      <c r="D27" s="98">
        <f>'Öğrenci Bilgileri'!D27</f>
        <v>0</v>
      </c>
      <c r="E27" s="3">
        <f ca="1">'1. DÖNEM 1. PERFORMANS PUANI'!I27</f>
        <v>0</v>
      </c>
      <c r="F27" s="3">
        <f ca="1">'1. DÖNEM 2. PERFORMANS PUANI'!H27</f>
        <v>0</v>
      </c>
    </row>
    <row r="28" spans="2:6" ht="24.95" customHeight="1">
      <c r="B28" s="2">
        <v>25</v>
      </c>
      <c r="C28" s="2">
        <f>'Öğrenci Bilgileri'!C28</f>
        <v>0</v>
      </c>
      <c r="D28" s="98">
        <f>'Öğrenci Bilgileri'!D28</f>
        <v>0</v>
      </c>
      <c r="E28" s="3">
        <f ca="1">'1. DÖNEM 1. PERFORMANS PUANI'!I28</f>
        <v>0</v>
      </c>
      <c r="F28" s="3">
        <f ca="1">'1. DÖNEM 2. PERFORMANS PUANI'!H28</f>
        <v>0</v>
      </c>
    </row>
    <row r="29" spans="2:6" ht="24.95" customHeight="1">
      <c r="B29" s="2">
        <v>26</v>
      </c>
      <c r="C29" s="2">
        <f>'Öğrenci Bilgileri'!C29</f>
        <v>0</v>
      </c>
      <c r="D29" s="98">
        <f>'Öğrenci Bilgileri'!D29</f>
        <v>0</v>
      </c>
      <c r="E29" s="3">
        <f ca="1">'1. DÖNEM 1. PERFORMANS PUANI'!I29</f>
        <v>0</v>
      </c>
      <c r="F29" s="3">
        <f ca="1">'1. DÖNEM 2. PERFORMANS PUANI'!H29</f>
        <v>0</v>
      </c>
    </row>
    <row r="30" spans="2:6" ht="24.95" customHeight="1">
      <c r="B30" s="2">
        <v>27</v>
      </c>
      <c r="C30" s="2">
        <f>'Öğrenci Bilgileri'!C30</f>
        <v>0</v>
      </c>
      <c r="D30" s="98">
        <f>'Öğrenci Bilgileri'!D30</f>
        <v>0</v>
      </c>
      <c r="E30" s="3">
        <f ca="1">'1. DÖNEM 1. PERFORMANS PUANI'!I30</f>
        <v>0</v>
      </c>
      <c r="F30" s="3">
        <f ca="1">'1. DÖNEM 2. PERFORMANS PUANI'!H30</f>
        <v>0</v>
      </c>
    </row>
    <row r="31" spans="2:6" ht="24.95" customHeight="1">
      <c r="B31" s="2">
        <v>28</v>
      </c>
      <c r="C31" s="2">
        <f>'Öğrenci Bilgileri'!C31</f>
        <v>0</v>
      </c>
      <c r="D31" s="98">
        <f>'Öğrenci Bilgileri'!D31</f>
        <v>0</v>
      </c>
      <c r="E31" s="3">
        <f ca="1">'1. DÖNEM 1. PERFORMANS PUANI'!I31</f>
        <v>0</v>
      </c>
      <c r="F31" s="3">
        <f ca="1">'1. DÖNEM 2. PERFORMANS PUANI'!H31</f>
        <v>0</v>
      </c>
    </row>
    <row r="32" spans="2:6" ht="24.95" customHeight="1">
      <c r="B32" s="2">
        <v>29</v>
      </c>
      <c r="C32" s="2">
        <f>'Öğrenci Bilgileri'!C32</f>
        <v>0</v>
      </c>
      <c r="D32" s="98">
        <f>'Öğrenci Bilgileri'!D32</f>
        <v>0</v>
      </c>
      <c r="E32" s="3">
        <f ca="1">'1. DÖNEM 1. PERFORMANS PUANI'!I32</f>
        <v>0</v>
      </c>
      <c r="F32" s="3">
        <f ca="1">'1. DÖNEM 2. PERFORMANS PUANI'!H32</f>
        <v>0</v>
      </c>
    </row>
    <row r="33" spans="2:6" ht="24.95" customHeight="1">
      <c r="B33" s="2">
        <v>30</v>
      </c>
      <c r="C33" s="2">
        <f>'Öğrenci Bilgileri'!C33</f>
        <v>0</v>
      </c>
      <c r="D33" s="98">
        <f>'Öğrenci Bilgileri'!D33</f>
        <v>0</v>
      </c>
      <c r="E33" s="3">
        <f ca="1">'1. DÖNEM 1. PERFORMANS PUANI'!I33</f>
        <v>0</v>
      </c>
      <c r="F33" s="3">
        <f ca="1">'1. DÖNEM 2. PERFORMANS PUANI'!H33</f>
        <v>0</v>
      </c>
    </row>
    <row r="34" spans="2:6" ht="24.95" customHeight="1">
      <c r="B34" s="2">
        <v>31</v>
      </c>
      <c r="C34" s="2">
        <f>'Öğrenci Bilgileri'!C34</f>
        <v>0</v>
      </c>
      <c r="D34" s="98">
        <f>'Öğrenci Bilgileri'!D34</f>
        <v>0</v>
      </c>
      <c r="E34" s="3">
        <f ca="1">'1. DÖNEM 1. PERFORMANS PUANI'!I34</f>
        <v>0</v>
      </c>
      <c r="F34" s="3">
        <f ca="1">'1. DÖNEM 2. PERFORMANS PUANI'!H34</f>
        <v>0</v>
      </c>
    </row>
    <row r="35" spans="2:6" ht="24.95" customHeight="1">
      <c r="B35" s="2">
        <v>32</v>
      </c>
      <c r="C35" s="2">
        <f>'Öğrenci Bilgileri'!C35</f>
        <v>0</v>
      </c>
      <c r="D35" s="98">
        <f>'Öğrenci Bilgileri'!D35</f>
        <v>0</v>
      </c>
      <c r="E35" s="3">
        <f ca="1">'1. DÖNEM 1. PERFORMANS PUANI'!I35</f>
        <v>0</v>
      </c>
      <c r="F35" s="3">
        <f ca="1">'1. DÖNEM 2. PERFORMANS PUANI'!H35</f>
        <v>0</v>
      </c>
    </row>
    <row r="36" spans="2:6" ht="24.95" customHeight="1">
      <c r="B36" s="2">
        <v>33</v>
      </c>
      <c r="C36" s="2">
        <f>'Öğrenci Bilgileri'!C36</f>
        <v>0</v>
      </c>
      <c r="D36" s="98">
        <f>'Öğrenci Bilgileri'!D36</f>
        <v>0</v>
      </c>
      <c r="E36" s="3">
        <f ca="1">'1. DÖNEM 1. PERFORMANS PUANI'!I36</f>
        <v>0</v>
      </c>
      <c r="F36" s="3">
        <f ca="1">'1. DÖNEM 2. PERFORMANS PUANI'!H36</f>
        <v>0</v>
      </c>
    </row>
    <row r="37" spans="2:6" ht="24.95" customHeight="1">
      <c r="B37" s="2">
        <v>34</v>
      </c>
      <c r="C37" s="2">
        <f>'Öğrenci Bilgileri'!C37</f>
        <v>0</v>
      </c>
      <c r="D37" s="98">
        <f>'Öğrenci Bilgileri'!D37</f>
        <v>0</v>
      </c>
      <c r="E37" s="3">
        <f ca="1">'1. DÖNEM 1. PERFORMANS PUANI'!I37</f>
        <v>0</v>
      </c>
      <c r="F37" s="3">
        <f ca="1">'1. DÖNEM 2. PERFORMANS PUANI'!H37</f>
        <v>0</v>
      </c>
    </row>
    <row r="38" spans="2:6" ht="24.95" customHeight="1">
      <c r="B38" s="2">
        <v>35</v>
      </c>
      <c r="C38" s="2">
        <f>'Öğrenci Bilgileri'!C38</f>
        <v>0</v>
      </c>
      <c r="D38" s="98">
        <f>'Öğrenci Bilgileri'!D38</f>
        <v>0</v>
      </c>
      <c r="E38" s="3">
        <f ca="1">'1. DÖNEM 1. PERFORMANS PUANI'!I38</f>
        <v>0</v>
      </c>
      <c r="F38" s="3">
        <f ca="1">'1. DÖNEM 2. PERFORMANS PUANI'!H38</f>
        <v>0</v>
      </c>
    </row>
    <row r="39" spans="2:6" ht="24.95" customHeight="1">
      <c r="B39" s="2">
        <v>36</v>
      </c>
      <c r="C39" s="2">
        <f>'Öğrenci Bilgileri'!C39</f>
        <v>0</v>
      </c>
      <c r="D39" s="98">
        <f>'Öğrenci Bilgileri'!D39</f>
        <v>0</v>
      </c>
      <c r="E39" s="3">
        <f ca="1">'1. DÖNEM 1. PERFORMANS PUANI'!I39</f>
        <v>0</v>
      </c>
      <c r="F39" s="3">
        <f ca="1">'1. DÖNEM 2. PERFORMANS PUANI'!H39</f>
        <v>0</v>
      </c>
    </row>
    <row r="40" spans="2:6" ht="24.95" customHeight="1">
      <c r="B40" s="2">
        <v>37</v>
      </c>
      <c r="C40" s="2">
        <f>'Öğrenci Bilgileri'!C40</f>
        <v>0</v>
      </c>
      <c r="D40" s="98">
        <f>'Öğrenci Bilgileri'!D40</f>
        <v>0</v>
      </c>
      <c r="E40" s="3">
        <f ca="1">'1. DÖNEM 1. PERFORMANS PUANI'!I40</f>
        <v>0</v>
      </c>
      <c r="F40" s="3">
        <f ca="1">'1. DÖNEM 2. PERFORMANS PUANI'!H40</f>
        <v>0</v>
      </c>
    </row>
    <row r="41" spans="2:6" ht="24.95" customHeight="1">
      <c r="B41" s="2">
        <v>38</v>
      </c>
      <c r="C41" s="2">
        <f>'Öğrenci Bilgileri'!C41</f>
        <v>0</v>
      </c>
      <c r="D41" s="98">
        <f>'Öğrenci Bilgileri'!D41</f>
        <v>0</v>
      </c>
      <c r="E41" s="3">
        <f ca="1">'1. DÖNEM 1. PERFORMANS PUANI'!I41</f>
        <v>0</v>
      </c>
      <c r="F41" s="3">
        <f ca="1">'1. DÖNEM 2. PERFORMANS PUANI'!H41</f>
        <v>0</v>
      </c>
    </row>
    <row r="42" spans="2:6" ht="24.95" customHeight="1">
      <c r="B42" s="2">
        <v>39</v>
      </c>
      <c r="C42" s="2">
        <f>'Öğrenci Bilgileri'!C42</f>
        <v>0</v>
      </c>
      <c r="D42" s="98">
        <f>'Öğrenci Bilgileri'!D42</f>
        <v>0</v>
      </c>
      <c r="E42" s="3">
        <f ca="1">'1. DÖNEM 1. PERFORMANS PUANI'!I42</f>
        <v>0</v>
      </c>
      <c r="F42" s="3">
        <f ca="1">'1. DÖNEM 2. PERFORMANS PUANI'!H42</f>
        <v>0</v>
      </c>
    </row>
    <row r="43" spans="2:6" ht="24.95" customHeight="1" thickBot="1">
      <c r="B43" s="4">
        <v>40</v>
      </c>
      <c r="C43" s="4">
        <f>'Öğrenci Bilgileri'!C43</f>
        <v>0</v>
      </c>
      <c r="D43" s="99">
        <f>'Öğrenci Bilgileri'!D43</f>
        <v>0</v>
      </c>
      <c r="E43" s="5">
        <f ca="1">'1. DÖNEM 1. PERFORMANS PUANI'!I43</f>
        <v>0</v>
      </c>
      <c r="F43" s="5">
        <f ca="1">'1. DÖNEM 2. PERFORMANS PUANI'!H43</f>
        <v>0</v>
      </c>
    </row>
    <row r="44" spans="2:6" ht="15" thickTop="1"/>
    <row r="45" spans="2:6" ht="24" customHeight="1">
      <c r="E45" s="196">
        <v>46402</v>
      </c>
      <c r="F45" s="197"/>
    </row>
    <row r="46" spans="2:6" ht="16.5">
      <c r="E46" s="107"/>
      <c r="F46" s="107"/>
    </row>
    <row r="47" spans="2:6" ht="25.5" customHeight="1">
      <c r="E47" s="107"/>
      <c r="F47" s="107"/>
    </row>
    <row r="48" spans="2:6" ht="25.5" customHeight="1">
      <c r="E48" s="197" t="s">
        <v>225</v>
      </c>
      <c r="F48" s="197"/>
    </row>
    <row r="49" spans="5:6" ht="21" customHeight="1">
      <c r="E49" s="232" t="s">
        <v>39</v>
      </c>
      <c r="F49" s="232"/>
    </row>
  </sheetData>
  <mergeCells count="5">
    <mergeCell ref="B2:F2"/>
    <mergeCell ref="B1:F1"/>
    <mergeCell ref="E45:F45"/>
    <mergeCell ref="E48:F48"/>
    <mergeCell ref="E49:F49"/>
  </mergeCells>
  <pageMargins left="0.86614173228346458" right="0.11811023622047245" top="0.74803149606299213" bottom="0.35433070866141736" header="0.31496062992125984" footer="0.31496062992125984"/>
  <pageSetup paperSize="9" scale="5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11</vt:i4>
      </vt:variant>
      <vt:variant>
        <vt:lpstr>Adlandırılmış Aralıklar</vt:lpstr>
      </vt:variant>
      <vt:variant>
        <vt:i4>9</vt:i4>
      </vt:variant>
    </vt:vector>
  </HeadingPairs>
  <TitlesOfParts>
    <vt:vector size="20" baseType="lpstr">
      <vt:lpstr>Öğrenci Bilgileri</vt:lpstr>
      <vt:lpstr>1. Tema Konuşma</vt:lpstr>
      <vt:lpstr>2. Tema Konuşma</vt:lpstr>
      <vt:lpstr>1. Tema Yazma</vt:lpstr>
      <vt:lpstr>2. Tema Yazma</vt:lpstr>
      <vt:lpstr>1. DÖNEM 1. PERFORMANS PUANI</vt:lpstr>
      <vt:lpstr>1. Tema Kitap Okuma</vt:lpstr>
      <vt:lpstr>2. Tema Kitap Okuma</vt:lpstr>
      <vt:lpstr>Ders İçi Gözlem</vt:lpstr>
      <vt:lpstr>1. DÖNEM 2. PERFORMANS PUANI</vt:lpstr>
      <vt:lpstr>1. DÖNEM 1. VE 2. PERFORMANS P</vt:lpstr>
      <vt:lpstr>'1. DÖNEM 1. PERFORMANS PUANI'!Yazdırma_Alanı</vt:lpstr>
      <vt:lpstr>'1. DÖNEM 1. VE 2. PERFORMANS P'!Yazdırma_Alanı</vt:lpstr>
      <vt:lpstr>'1. DÖNEM 2. PERFORMANS PUANI'!Yazdırma_Alanı</vt:lpstr>
      <vt:lpstr>'1. Tema Kitap Okuma'!Yazdırma_Alanı</vt:lpstr>
      <vt:lpstr>'1. Tema Konuşma'!Yazdırma_Alanı</vt:lpstr>
      <vt:lpstr>'1. Tema Yazma'!Yazdırma_Alanı</vt:lpstr>
      <vt:lpstr>'2. Tema Kitap Okuma'!Yazdırma_Alanı</vt:lpstr>
      <vt:lpstr>'2. Tema Konuşma'!Yazdırma_Alanı</vt:lpstr>
      <vt:lpstr>'2. Tema Yazma'!Yazdırma_Alanı</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SX YA</dc:creator>
  <cp:lastModifiedBy>w7</cp:lastModifiedBy>
  <cp:lastPrinted>2026-09-30T11:21:01Z</cp:lastPrinted>
  <dcterms:created xsi:type="dcterms:W3CDTF">2024-08-08T07:29:13Z</dcterms:created>
  <dcterms:modified xsi:type="dcterms:W3CDTF">2026-09-30T19:31:59Z</dcterms:modified>
</cp:coreProperties>
</file>